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Ejecutivo" sheetId="1" state="visible" r:id="rId3"/>
    <sheet name="Tarifario Volumen" sheetId="2" state="visible" r:id="rId4"/>
    <sheet name="Costos Variables" sheetId="3" state="visible" r:id="rId5"/>
    <sheet name="Cuadro de Ganancias" sheetId="4" state="visible" r:id="rId6"/>
    <sheet name="Proyección 5 añ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<sst xmlns="http://schemas.openxmlformats.org/spreadsheetml/2006/main" count="158" uniqueCount="145">
  <si>
    <t xml:space="preserve">TIZA S.A.S. — Análisis de Planes: 50 vs 1.000 Profesores</t>
  </si>
  <si>
    <t xml:space="preserve">Plataforma educativa con IA (Gemini 2.0 Flash) para docentes colombianos</t>
  </si>
  <si>
    <t xml:space="preserve">INDICADORES CLAVE — Comparación de planes (vista anual)</t>
  </si>
  <si>
    <t xml:space="preserve">Métrica</t>
  </si>
  <si>
    <t xml:space="preserve">Plan 50 profesores</t>
  </si>
  <si>
    <t xml:space="preserve">Plan 1.000 profesores</t>
  </si>
  <si>
    <t xml:space="preserve">Diferencia</t>
  </si>
  <si>
    <t xml:space="preserve">Precio por profesor / mes</t>
  </si>
  <si>
    <t xml:space="preserve">Ingreso mensual</t>
  </si>
  <si>
    <t xml:space="preserve">Ingreso anual</t>
  </si>
  <si>
    <t xml:space="preserve">Costo variable anual</t>
  </si>
  <si>
    <t xml:space="preserve">Margen bruto anual</t>
  </si>
  <si>
    <t xml:space="preserve">Margen bruto %</t>
  </si>
  <si>
    <t xml:space="preserve">ROI sobre costo variable</t>
  </si>
  <si>
    <t xml:space="preserve">CAC (costo adquisición)</t>
  </si>
  <si>
    <t xml:space="preserve">Payback CAC (meses)</t>
  </si>
  <si>
    <t xml:space="preserve">LTV estimado a 3 años</t>
  </si>
  <si>
    <t xml:space="preserve">LTV / CAC ratio</t>
  </si>
  <si>
    <t xml:space="preserve">CONCLUSIONES CLAVE</t>
  </si>
  <si>
    <t xml:space="preserve">✓ AMBOS PLANES son altamente rentables: margen bruto &gt;85% en ambos casos (típico SaaS Tier 1).</t>
  </si>
  <si>
    <t xml:space="preserve">✓ El plan de 1.000 profesores genera 12.2x más ingreso anual ($132M vs $10.8M COP).</t>
  </si>
  <si>
    <t xml:space="preserve">✓ El descuento por volumen (56%) NO destruye margen: cae solo 5.5 pp (91.5% → 86.0%).</t>
  </si>
  <si>
    <t xml:space="preserve">✓ El CAC se recupera en &lt;1 mes en ambos planes → modelo SaaS muy saludable.</t>
  </si>
  <si>
    <t xml:space="preserve">✓ Ratio LTV/CAC ambos &gt;40x → cada peso invertido en ventas retorna &gt;40x.</t>
  </si>
  <si>
    <t xml:space="preserve">⚠ Bajo costo variable (~$1.537/prof/mes) gracias a Gemini 2.0 Flash y Supabase.</t>
  </si>
  <si>
    <t xml:space="preserve">→ ESTRATEGIA: Priorizar contratos institucionales (300+ profesores) para acelerar crecimiento.</t>
  </si>
  <si>
    <t xml:space="preserve">TARIFARIO TIZA — Descuento por Volumen</t>
  </si>
  <si>
    <t xml:space="preserve">Estrategia de precios: a mayor volumen, mayor descuento (típico SaaS B2B education).</t>
  </si>
  <si>
    <t xml:space="preserve">Plan</t>
  </si>
  <si>
    <t xml:space="preserve">Rango de profesores</t>
  </si>
  <si>
    <t xml:space="preserve">Precio/Prof/Mes (COP)</t>
  </si>
  <si>
    <t xml:space="preserve">Descuento vs Tier 1</t>
  </si>
  <si>
    <t xml:space="preserve">Ingreso mensual ejemplo</t>
  </si>
  <si>
    <t xml:space="preserve">Ingreso anual ejemplo</t>
  </si>
  <si>
    <t xml:space="preserve">Cliente objetivo</t>
  </si>
  <si>
    <t xml:space="preserve">Plan Docente Individual</t>
  </si>
  <si>
    <t xml:space="preserve">1 - 9</t>
  </si>
  <si>
    <t xml:space="preserve">Docentes que pagan de su bolsillo</t>
  </si>
  <si>
    <t xml:space="preserve">Plan Pequeño</t>
  </si>
  <si>
    <t xml:space="preserve">10 - 49</t>
  </si>
  <si>
    <t xml:space="preserve">Colegio rural / escuela unitaria</t>
  </si>
  <si>
    <t xml:space="preserve">Plan Mediano</t>
  </si>
  <si>
    <t xml:space="preserve">50 - 199</t>
  </si>
  <si>
    <t xml:space="preserve">Colegio público típico (urbano)</t>
  </si>
  <si>
    <t xml:space="preserve">Plan Grande</t>
  </si>
  <si>
    <t xml:space="preserve">200 - 499</t>
  </si>
  <si>
    <t xml:space="preserve">Colegio privado / megacolegio público</t>
  </si>
  <si>
    <t xml:space="preserve">Plan Institucional</t>
  </si>
  <si>
    <t xml:space="preserve">500 - 999</t>
  </si>
  <si>
    <t xml:space="preserve">Red de colegios / fundación educativa</t>
  </si>
  <si>
    <t xml:space="preserve">Plan Enterprise</t>
  </si>
  <si>
    <t xml:space="preserve">1.000+</t>
  </si>
  <si>
    <t xml:space="preserve">Secretaría de Educación municipal/dptal</t>
  </si>
  <si>
    <t xml:space="preserve">NOTAS:</t>
  </si>
  <si>
    <t xml:space="preserve">• Precios en pesos colombianos (COP), facturación mensual, sin contrato de permanencia.</t>
  </si>
  <si>
    <t xml:space="preserve">• Descuentos por volumen aplicados solo a contratos institucionales (no acumulables con docente individual).</t>
  </si>
  <si>
    <t xml:space="preserve">• Para contratos anuales prepagados se ofrece adicionalmente 2 meses gratis (~17% descuento extra).</t>
  </si>
  <si>
    <t xml:space="preserve">• Secretarías de Educación: precios pueden negociarse con tarifa especial sector público.</t>
  </si>
  <si>
    <t xml:space="preserve">• Costo variable real por profesor: ~$1.537 COP/mes (margen bruto &gt;85% en todos los tiers).</t>
  </si>
  <si>
    <t xml:space="preserve">Cálculo de Costo Variable por Profesor</t>
  </si>
  <si>
    <t xml:space="preserve">SUPUESTOS DE USO POR PROFESOR ACTIVO (editables)</t>
  </si>
  <si>
    <t xml:space="preserve">Generaciones de planeación por mes</t>
  </si>
  <si>
    <t xml:space="preserve">Llamadas IA mensuales por docente</t>
  </si>
  <si>
    <t xml:space="preserve">Tokens input por generación</t>
  </si>
  <si>
    <t xml:space="preserve">Contexto: tema, grado, materia, currículo MEN</t>
  </si>
  <si>
    <t xml:space="preserve">Tokens output por generación</t>
  </si>
  <si>
    <t xml:space="preserve">3 ideas de plan con secuencia y evaluación</t>
  </si>
  <si>
    <t xml:space="preserve">Tasa de cambio COP/USD</t>
  </si>
  <si>
    <t xml:space="preserve">Tu Excel proyecta esta tasa para 2027</t>
  </si>
  <si>
    <t xml:space="preserve">PRECIOS GEMINI 2.0 FLASH (Google AI Studio, oficial 2026)</t>
  </si>
  <si>
    <t xml:space="preserve">Costo input por 1M tokens (USD)</t>
  </si>
  <si>
    <t xml:space="preserve">Costo output por 1M tokens (USD)</t>
  </si>
  <si>
    <t xml:space="preserve">CÁLCULO COSTO GEMINI POR PROFESOR/MES</t>
  </si>
  <si>
    <t xml:space="preserve">Tokens input/mes por profesor</t>
  </si>
  <si>
    <t xml:space="preserve">Tokens output/mes por profesor</t>
  </si>
  <si>
    <t xml:space="preserve">Costo Gemini USD por profesor/mes</t>
  </si>
  <si>
    <t xml:space="preserve">Costo Gemini COP por profesor/mes</t>
  </si>
  <si>
    <t xml:space="preserve">OTROS COSTOS VARIABLES PRORRATEADOS POR PROFESOR</t>
  </si>
  <si>
    <t xml:space="preserve">Supabase prorrateado (COP/prof/mes)</t>
  </si>
  <si>
    <t xml:space="preserve">Tu Excel: Supabase Pro $103.750/mes</t>
  </si>
  <si>
    <t xml:space="preserve">Vercel/infra prorrateado (COP/prof/mes)</t>
  </si>
  <si>
    <t xml:space="preserve">Plan Vercel Pro + dominio</t>
  </si>
  <si>
    <t xml:space="preserve">Soporte humano prorrateado (COP/prof/mes)</t>
  </si>
  <si>
    <t xml:space="preserve">~5 min/mes a $13.750 COP/hora</t>
  </si>
  <si>
    <t xml:space="preserve">COSTO VARIABLE TOTAL POR PROFESOR/MES</t>
  </si>
  <si>
    <t xml:space="preserve">ANÁLISIS DE SENSIBILIDAD: ¿Qué pasa si el uso aumenta?</t>
  </si>
  <si>
    <t xml:space="preserve">Escenario de uso</t>
  </si>
  <si>
    <t xml:space="preserve">Generaciones/mes</t>
  </si>
  <si>
    <t xml:space="preserve">Costo Gemini COP</t>
  </si>
  <si>
    <t xml:space="preserve">CV total COP/mes</t>
  </si>
  <si>
    <t xml:space="preserve">% del precio $18.000</t>
  </si>
  <si>
    <t xml:space="preserve">Uso bajo (5 gen/mes)</t>
  </si>
  <si>
    <t xml:space="preserve">Uso típico (15 gen/mes)</t>
  </si>
  <si>
    <t xml:space="preserve">Uso alto (30 gen/mes)</t>
  </si>
  <si>
    <t xml:space="preserve">Power user (60 gen/mes)</t>
  </si>
  <si>
    <t xml:space="preserve">Extremo (100 gen/mes)</t>
  </si>
  <si>
    <t xml:space="preserve">CUADRO DE GANANCIAS — 50 vs 1.000 profesores</t>
  </si>
  <si>
    <t xml:space="preserve">PARÁMETROS DEL CONTRATO (editables en amarillo)</t>
  </si>
  <si>
    <t xml:space="preserve">Concepto</t>
  </si>
  <si>
    <t xml:space="preserve">Razón / fuente</t>
  </si>
  <si>
    <t xml:space="preserve">Número de profesores</t>
  </si>
  <si>
    <t xml:space="preserve">Tamaño contratado</t>
  </si>
  <si>
    <t xml:space="preserve">Precio por profesor/mes (COP)</t>
  </si>
  <si>
    <t xml:space="preserve">Tier según volumen</t>
  </si>
  <si>
    <t xml:space="preserve">Costo variable/prof/mes (COP)</t>
  </si>
  <si>
    <t xml:space="preserve">Hoja Costos Variables</t>
  </si>
  <si>
    <t xml:space="preserve">Meses de facturación al año</t>
  </si>
  <si>
    <t xml:space="preserve">Anualizado</t>
  </si>
  <si>
    <t xml:space="preserve">Tasa de retención esperada</t>
  </si>
  <si>
    <t xml:space="preserve">Churn anual: 10% individuales, 5% enterprise</t>
  </si>
  <si>
    <t xml:space="preserve">CAC (costo adquisición cliente)</t>
  </si>
  <si>
    <t xml:space="preserve">Ciclo venta: directo vs RFP</t>
  </si>
  <si>
    <t xml:space="preserve">Crecimiento anual ingreso</t>
  </si>
  <si>
    <t xml:space="preserve">Upgrades + expansion</t>
  </si>
  <si>
    <t xml:space="preserve">CUADRO DE GANANCIAS — Vista Anual (Año 1)</t>
  </si>
  <si>
    <t xml:space="preserve">(+) Ingresos por suscripciones</t>
  </si>
  <si>
    <t xml:space="preserve">(-) Costo variable (IA + infra + soporte)</t>
  </si>
  <si>
    <t xml:space="preserve">MARGEN BRUTO ANUAL</t>
  </si>
  <si>
    <t xml:space="preserve">% Margen bruto</t>
  </si>
  <si>
    <t xml:space="preserve">(-) Costos fijos atribuibles al contrato</t>
  </si>
  <si>
    <t xml:space="preserve">    Account Manager (% tiempo dedicado)</t>
  </si>
  <si>
    <t xml:space="preserve">    Onboarding y capacitación (one-time)</t>
  </si>
  <si>
    <t xml:space="preserve">MARGEN DE CONTRIBUCIÓN ANUAL</t>
  </si>
  <si>
    <t xml:space="preserve">% Margen contribución</t>
  </si>
  <si>
    <t xml:space="preserve">INDICADORES DE RENTABILIDAD</t>
  </si>
  <si>
    <t xml:space="preserve">ROI = Margen Bruto / Costo Variable</t>
  </si>
  <si>
    <t xml:space="preserve">ROI = Margen Contribución / Inversión total (CV+CF+CAC)</t>
  </si>
  <si>
    <t xml:space="preserve">Payback del CAC (meses)</t>
  </si>
  <si>
    <t xml:space="preserve">LTV (3 años, con retención)</t>
  </si>
  <si>
    <t xml:space="preserve">Ratio LTV / CAC</t>
  </si>
  <si>
    <t xml:space="preserve">INTERPRETACIÓN: Ratio LTV/CAC &gt; 3x es saludable; &gt; 5x es excelente; &gt; 10x indica subexploración (sub-inversión en ventas).</t>
  </si>
  <si>
    <t xml:space="preserve">Proyección de Ganancias a 5 años — Comparativo</t>
  </si>
  <si>
    <t xml:space="preserve">Total 5 años</t>
  </si>
  <si>
    <t xml:space="preserve">PLAN 50 PROFESORES (colegio público típico)</t>
  </si>
  <si>
    <t xml:space="preserve">(+) Ingresos</t>
  </si>
  <si>
    <t xml:space="preserve">(-) Costos variables</t>
  </si>
  <si>
    <t xml:space="preserve">MARGEN BRUTO</t>
  </si>
  <si>
    <t xml:space="preserve">(-) Costos fijos atribuibles</t>
  </si>
  <si>
    <t xml:space="preserve">UTILIDAD OPERATIVA</t>
  </si>
  <si>
    <t xml:space="preserve">% Margen operativo</t>
  </si>
  <si>
    <t xml:space="preserve">PLAN 1.000 PROFESORES (Secretaría de Educación / Red institucional)</t>
  </si>
  <si>
    <t xml:space="preserve">RESUMEN COMPARATIVO 5 AÑOS</t>
  </si>
  <si>
    <t xml:space="preserve">Utilidad operativa total Plan 50</t>
  </si>
  <si>
    <t xml:space="preserve">Utilidad operativa total Plan 1.000</t>
  </si>
  <si>
    <t xml:space="preserve">Multiplicador (Plan 1.000 vs Plan 50)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</si>
</sst>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[RED]&quot;($&quot;#,##0\);\-"/>
    <numFmt numFmtId="166" formatCode="0.0%"/>
    <numFmt numFmtId="167" formatCode="0.0\x"/>
    <numFmt numFmtId="168" formatCode="0.0&quot; meses&quot;"/>
    <numFmt numFmtId="169" formatCode="#,##0"/>
    <numFmt numFmtId="170" formatCode="\$#,##0.00"/>
    <numFmt numFmtId="171" formatCode="&quot;US$&quot;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F4E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548235"/>
        <bgColor rgb="FF6666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22"/>
    <col collapsed="false" customWidth="true" hidden="false" outlineLevel="0" max="4" min="4" style="1" width="20"/>
    <col collapsed="false" customWidth="true" hidden="false" outlineLevel="0" max="8" min="5" style="1" width="1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26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true" outlineLevel="0" collapsed="false">
      <c r="A6" s="6" t="s">
        <v>7</v>
      </c>
      <c r="B6" s="7" t="n">
        <v>18000</v>
      </c>
      <c r="C6" s="7" t="n">
        <v>11000</v>
      </c>
      <c r="D6" s="7" t="n">
        <f aca="false">C6-B6</f>
        <v>-7000</v>
      </c>
    </row>
    <row r="7" customFormat="false" ht="15" hidden="false" customHeight="true" outlineLevel="0" collapsed="false">
      <c r="A7" s="8" t="s">
        <v>8</v>
      </c>
      <c r="B7" s="9" t="n">
        <v>900000</v>
      </c>
      <c r="C7" s="9" t="n">
        <v>11000000</v>
      </c>
      <c r="D7" s="9" t="n">
        <f aca="false">C7-B7</f>
        <v>10100000</v>
      </c>
    </row>
    <row r="8" customFormat="false" ht="15" hidden="false" customHeight="true" outlineLevel="0" collapsed="false">
      <c r="A8" s="6" t="s">
        <v>9</v>
      </c>
      <c r="B8" s="7" t="n">
        <v>10800000</v>
      </c>
      <c r="C8" s="7" t="n">
        <v>132000000</v>
      </c>
      <c r="D8" s="7" t="n">
        <f aca="false">C8-B8</f>
        <v>121200000</v>
      </c>
    </row>
    <row r="9" customFormat="false" ht="15" hidden="false" customHeight="true" outlineLevel="0" collapsed="false">
      <c r="A9" s="8" t="s">
        <v>10</v>
      </c>
      <c r="B9" s="9" t="n">
        <v>922200</v>
      </c>
      <c r="C9" s="9" t="n">
        <v>18444000</v>
      </c>
      <c r="D9" s="9" t="n">
        <f aca="false">C9-B9</f>
        <v>17521800</v>
      </c>
    </row>
    <row r="10" customFormat="false" ht="15" hidden="false" customHeight="true" outlineLevel="0" collapsed="false">
      <c r="A10" s="6" t="s">
        <v>11</v>
      </c>
      <c r="B10" s="7" t="n">
        <v>9877800</v>
      </c>
      <c r="C10" s="7" t="n">
        <v>113556000</v>
      </c>
      <c r="D10" s="7" t="n">
        <f aca="false">C10-B10</f>
        <v>103678200</v>
      </c>
    </row>
    <row r="11" customFormat="false" ht="15" hidden="false" customHeight="true" outlineLevel="0" collapsed="false">
      <c r="A11" s="8" t="s">
        <v>12</v>
      </c>
      <c r="B11" s="10" t="n">
        <v>0.915</v>
      </c>
      <c r="C11" s="10" t="n">
        <v>0.86</v>
      </c>
      <c r="D11" s="10" t="n">
        <f aca="false">C11-B11</f>
        <v>-0.0550000000000001</v>
      </c>
    </row>
    <row r="12" customFormat="false" ht="15" hidden="false" customHeight="true" outlineLevel="0" collapsed="false">
      <c r="A12" s="6" t="s">
        <v>13</v>
      </c>
      <c r="B12" s="11" t="n">
        <v>10.71</v>
      </c>
      <c r="C12" s="11" t="n">
        <v>6.16</v>
      </c>
      <c r="D12" s="11" t="n">
        <f aca="false">C12-B12</f>
        <v>-4.55</v>
      </c>
    </row>
    <row r="13" customFormat="false" ht="15" hidden="false" customHeight="true" outlineLevel="0" collapsed="false">
      <c r="A13" s="8" t="s">
        <v>14</v>
      </c>
      <c r="B13" s="9" t="n">
        <v>500000</v>
      </c>
      <c r="C13" s="9" t="n">
        <v>5000000</v>
      </c>
      <c r="D13" s="9" t="n">
        <f aca="false">C13-B13</f>
        <v>4500000</v>
      </c>
    </row>
    <row r="14" customFormat="false" ht="15" hidden="false" customHeight="true" outlineLevel="0" collapsed="false">
      <c r="A14" s="6" t="s">
        <v>15</v>
      </c>
      <c r="B14" s="12" t="n">
        <v>0.6</v>
      </c>
      <c r="C14" s="12" t="n">
        <v>0.5</v>
      </c>
      <c r="D14" s="12" t="n">
        <f aca="false">C14-B14</f>
        <v>-0.1</v>
      </c>
    </row>
    <row r="15" customFormat="false" ht="15" hidden="false" customHeight="true" outlineLevel="0" collapsed="false">
      <c r="A15" s="8" t="s">
        <v>16</v>
      </c>
      <c r="B15" s="9" t="n">
        <v>29633400</v>
      </c>
      <c r="C15" s="9" t="n">
        <v>340668000</v>
      </c>
      <c r="D15" s="9" t="n">
        <f aca="false">C15-B15</f>
        <v>311034600</v>
      </c>
    </row>
    <row r="16" customFormat="false" ht="15" hidden="false" customHeight="true" outlineLevel="0" collapsed="false">
      <c r="A16" s="6" t="s">
        <v>17</v>
      </c>
      <c r="B16" s="11" t="n">
        <v>59.3</v>
      </c>
      <c r="C16" s="11" t="n">
        <v>68.1</v>
      </c>
      <c r="D16" s="11" t="n">
        <f aca="false">C16-B16</f>
        <v>8.8</v>
      </c>
    </row>
    <row r="19" customFormat="false" ht="15" hidden="false" customHeight="true" outlineLevel="0" collapsed="false">
      <c r="A19" s="4" t="s">
        <v>18</v>
      </c>
      <c r="B19" s="4"/>
      <c r="C19" s="4"/>
      <c r="D19" s="4"/>
      <c r="E19" s="4"/>
      <c r="F19" s="4"/>
      <c r="G19" s="4"/>
      <c r="H19" s="4"/>
    </row>
    <row r="20" customFormat="false" ht="15" hidden="false" customHeight="true" outlineLevel="0" collapsed="false">
      <c r="A20" s="13" t="s">
        <v>19</v>
      </c>
      <c r="B20" s="13"/>
      <c r="C20" s="13"/>
      <c r="D20" s="13"/>
      <c r="E20" s="13"/>
      <c r="F20" s="13"/>
      <c r="G20" s="13"/>
      <c r="H20" s="13"/>
    </row>
    <row r="21" customFormat="false" ht="15" hidden="false" customHeight="true" outlineLevel="0" collapsed="false">
      <c r="A21" s="13" t="s">
        <v>20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13" t="s">
        <v>21</v>
      </c>
      <c r="B22" s="13"/>
      <c r="C22" s="13"/>
      <c r="D22" s="13"/>
      <c r="E22" s="13"/>
      <c r="F22" s="13"/>
      <c r="G22" s="13"/>
      <c r="H22" s="13"/>
    </row>
    <row r="23" customFormat="false" ht="15" hidden="false" customHeight="true" outlineLevel="0" collapsed="false">
      <c r="A23" s="13" t="s">
        <v>22</v>
      </c>
      <c r="B23" s="13"/>
      <c r="C23" s="13"/>
      <c r="D23" s="13"/>
      <c r="E23" s="13"/>
      <c r="F23" s="13"/>
      <c r="G23" s="13"/>
      <c r="H23" s="13"/>
    </row>
    <row r="24" customFormat="false" ht="15" hidden="false" customHeight="true" outlineLevel="0" collapsed="false">
      <c r="A24" s="13" t="s">
        <v>23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true" outlineLevel="0" collapsed="false">
      <c r="A25" s="14" t="s">
        <v>24</v>
      </c>
      <c r="B25" s="14"/>
      <c r="C25" s="14"/>
      <c r="D25" s="14"/>
      <c r="E25" s="14"/>
      <c r="F25" s="14"/>
      <c r="G25" s="14"/>
      <c r="H25" s="14"/>
    </row>
    <row r="26" customFormat="false" ht="15" hidden="false" customHeight="true" outlineLevel="0" collapsed="false">
      <c r="A26" s="15" t="s">
        <v>25</v>
      </c>
      <c r="B26" s="15"/>
      <c r="C26" s="15"/>
      <c r="D26" s="15"/>
      <c r="E26" s="15"/>
      <c r="F26" s="15"/>
      <c r="G26" s="15"/>
      <c r="H26" s="15"/>
    </row>
  </sheetData>
  <mergeCells count="11">
    <mergeCell ref="A1:H1"/>
    <mergeCell ref="A2:H2"/>
    <mergeCell ref="A4:H4"/>
    <mergeCell ref="A19:H19"/>
    <mergeCell ref="A20:H20"/>
    <mergeCell ref="A21:H21"/>
    <mergeCell ref="A22:H22"/>
    <mergeCell ref="A23:H23"/>
    <mergeCell ref="A24:H24"/>
    <mergeCell ref="A25:H25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6" min="5" style="1" width="22"/>
    <col collapsed="false" customWidth="true" hidden="false" outlineLevel="0" max="7" min="7" style="1" width="38"/>
  </cols>
  <sheetData>
    <row r="1" customFormat="false" ht="27.7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16" t="s">
        <v>27</v>
      </c>
      <c r="B3" s="16"/>
      <c r="C3" s="16"/>
      <c r="D3" s="16"/>
      <c r="E3" s="16"/>
      <c r="F3" s="16"/>
      <c r="G3" s="16"/>
    </row>
    <row r="5" customFormat="false" ht="34.5" hidden="false" customHeight="true" outlineLevel="0" collapsed="false">
      <c r="A5" s="5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</row>
    <row r="6" customFormat="false" ht="15" hidden="false" customHeight="true" outlineLevel="0" collapsed="false">
      <c r="A6" s="17" t="s">
        <v>35</v>
      </c>
      <c r="B6" s="18" t="s">
        <v>36</v>
      </c>
      <c r="C6" s="9" t="n">
        <v>25000</v>
      </c>
      <c r="D6" s="10" t="n">
        <v>0</v>
      </c>
      <c r="E6" s="9" t="n">
        <f aca="false">5*C6</f>
        <v>125000</v>
      </c>
      <c r="F6" s="9" t="n">
        <f aca="false">E6*12</f>
        <v>1500000</v>
      </c>
      <c r="G6" s="19" t="s">
        <v>37</v>
      </c>
    </row>
    <row r="7" customFormat="false" ht="15" hidden="false" customHeight="true" outlineLevel="0" collapsed="false">
      <c r="A7" s="17" t="s">
        <v>38</v>
      </c>
      <c r="B7" s="18" t="s">
        <v>39</v>
      </c>
      <c r="C7" s="9" t="n">
        <v>22000</v>
      </c>
      <c r="D7" s="10" t="n">
        <v>0.12</v>
      </c>
      <c r="E7" s="9" t="n">
        <f aca="false">30*C7</f>
        <v>660000</v>
      </c>
      <c r="F7" s="9" t="n">
        <f aca="false">E7*12</f>
        <v>7920000</v>
      </c>
      <c r="G7" s="19" t="s">
        <v>40</v>
      </c>
    </row>
    <row r="8" customFormat="false" ht="15" hidden="false" customHeight="true" outlineLevel="0" collapsed="false">
      <c r="A8" s="20" t="s">
        <v>41</v>
      </c>
      <c r="B8" s="21" t="s">
        <v>42</v>
      </c>
      <c r="C8" s="22" t="n">
        <v>18000</v>
      </c>
      <c r="D8" s="23" t="n">
        <v>0.28</v>
      </c>
      <c r="E8" s="22" t="n">
        <f aca="false">50*C8</f>
        <v>900000</v>
      </c>
      <c r="F8" s="22" t="n">
        <f aca="false">E8*12</f>
        <v>10800000</v>
      </c>
      <c r="G8" s="24" t="s">
        <v>43</v>
      </c>
    </row>
    <row r="9" customFormat="false" ht="15" hidden="false" customHeight="true" outlineLevel="0" collapsed="false">
      <c r="A9" s="17" t="s">
        <v>44</v>
      </c>
      <c r="B9" s="18" t="s">
        <v>45</v>
      </c>
      <c r="C9" s="9" t="n">
        <v>15000</v>
      </c>
      <c r="D9" s="10" t="n">
        <v>0.4</v>
      </c>
      <c r="E9" s="9" t="n">
        <f aca="false">300*C9</f>
        <v>4500000</v>
      </c>
      <c r="F9" s="9" t="n">
        <f aca="false">E9*12</f>
        <v>54000000</v>
      </c>
      <c r="G9" s="19" t="s">
        <v>46</v>
      </c>
    </row>
    <row r="10" customFormat="false" ht="15" hidden="false" customHeight="true" outlineLevel="0" collapsed="false">
      <c r="A10" s="17" t="s">
        <v>47</v>
      </c>
      <c r="B10" s="18" t="s">
        <v>48</v>
      </c>
      <c r="C10" s="9" t="n">
        <v>13000</v>
      </c>
      <c r="D10" s="10" t="n">
        <v>0.48</v>
      </c>
      <c r="E10" s="9" t="n">
        <f aca="false">700*C10</f>
        <v>9100000</v>
      </c>
      <c r="F10" s="9" t="n">
        <f aca="false">E10*12</f>
        <v>109200000</v>
      </c>
      <c r="G10" s="19" t="s">
        <v>49</v>
      </c>
    </row>
    <row r="11" customFormat="false" ht="15" hidden="false" customHeight="true" outlineLevel="0" collapsed="false">
      <c r="A11" s="25" t="s">
        <v>50</v>
      </c>
      <c r="B11" s="26" t="s">
        <v>51</v>
      </c>
      <c r="C11" s="27" t="n">
        <v>11000</v>
      </c>
      <c r="D11" s="28" t="n">
        <v>0.56</v>
      </c>
      <c r="E11" s="27" t="n">
        <f aca="false">1000*C11</f>
        <v>11000000</v>
      </c>
      <c r="F11" s="27" t="n">
        <f aca="false">E11*12</f>
        <v>132000000</v>
      </c>
      <c r="G11" s="29" t="s">
        <v>52</v>
      </c>
    </row>
    <row r="14" customFormat="false" ht="15" hidden="false" customHeight="true" outlineLevel="0" collapsed="false">
      <c r="A14" s="30" t="s">
        <v>53</v>
      </c>
    </row>
    <row r="15" customFormat="false" ht="15" hidden="false" customHeight="true" outlineLevel="0" collapsed="false">
      <c r="A15" s="31" t="s">
        <v>54</v>
      </c>
      <c r="B15" s="31"/>
      <c r="C15" s="31"/>
      <c r="D15" s="31"/>
      <c r="E15" s="31"/>
      <c r="F15" s="31"/>
      <c r="G15" s="31"/>
    </row>
    <row r="16" customFormat="false" ht="15" hidden="false" customHeight="true" outlineLevel="0" collapsed="false">
      <c r="A16" s="31" t="s">
        <v>55</v>
      </c>
      <c r="B16" s="31"/>
      <c r="C16" s="31"/>
      <c r="D16" s="31"/>
      <c r="E16" s="31"/>
      <c r="F16" s="31"/>
      <c r="G16" s="31"/>
    </row>
    <row r="17" customFormat="false" ht="15" hidden="false" customHeight="true" outlineLevel="0" collapsed="false">
      <c r="A17" s="31" t="s">
        <v>56</v>
      </c>
      <c r="B17" s="31"/>
      <c r="C17" s="31"/>
      <c r="D17" s="31"/>
      <c r="E17" s="31"/>
      <c r="F17" s="31"/>
      <c r="G17" s="31"/>
    </row>
    <row r="18" customFormat="false" ht="15" hidden="false" customHeight="true" outlineLevel="0" collapsed="false">
      <c r="A18" s="31" t="s">
        <v>57</v>
      </c>
      <c r="B18" s="31"/>
      <c r="C18" s="31"/>
      <c r="D18" s="31"/>
      <c r="E18" s="31"/>
      <c r="F18" s="31"/>
      <c r="G18" s="31"/>
    </row>
    <row r="19" customFormat="false" ht="15" hidden="false" customHeight="true" outlineLevel="0" collapsed="false">
      <c r="A19" s="31" t="s">
        <v>58</v>
      </c>
      <c r="B19" s="31"/>
      <c r="C19" s="31"/>
      <c r="D19" s="31"/>
      <c r="E19" s="31"/>
      <c r="F19" s="31"/>
      <c r="G19" s="31"/>
    </row>
  </sheetData>
  <mergeCells count="7">
    <mergeCell ref="A1:G1"/>
    <mergeCell ref="A3:G3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5" min="4" style="1" width="20"/>
  </cols>
  <sheetData>
    <row r="1" customFormat="false" ht="27.75" hidden="false" customHeight="true" outlineLevel="0" collapsed="false">
      <c r="A1" s="2" t="s">
        <v>59</v>
      </c>
      <c r="B1" s="2"/>
      <c r="C1" s="2"/>
      <c r="D1" s="2"/>
      <c r="E1" s="2"/>
    </row>
    <row r="3" customFormat="false" ht="15" hidden="false" customHeight="true" outlineLevel="0" collapsed="false">
      <c r="A3" s="4" t="s">
        <v>60</v>
      </c>
      <c r="B3" s="4"/>
      <c r="C3" s="4"/>
      <c r="D3" s="4"/>
      <c r="E3" s="4"/>
    </row>
    <row r="5" customFormat="false" ht="15" hidden="false" customHeight="true" outlineLevel="0" collapsed="false">
      <c r="A5" s="17" t="s">
        <v>61</v>
      </c>
      <c r="B5" s="32" t="n">
        <v>15</v>
      </c>
      <c r="C5" s="33" t="s">
        <v>62</v>
      </c>
    </row>
    <row r="6" customFormat="false" ht="15" hidden="false" customHeight="true" outlineLevel="0" collapsed="false">
      <c r="A6" s="17" t="s">
        <v>63</v>
      </c>
      <c r="B6" s="32" t="n">
        <v>2000</v>
      </c>
      <c r="C6" s="33" t="s">
        <v>64</v>
      </c>
    </row>
    <row r="7" customFormat="false" ht="15" hidden="false" customHeight="true" outlineLevel="0" collapsed="false">
      <c r="A7" s="17" t="s">
        <v>65</v>
      </c>
      <c r="B7" s="32" t="n">
        <v>3000</v>
      </c>
      <c r="C7" s="33" t="s">
        <v>66</v>
      </c>
    </row>
    <row r="8" customFormat="false" ht="15" hidden="false" customHeight="true" outlineLevel="0" collapsed="false">
      <c r="A8" s="17" t="s">
        <v>67</v>
      </c>
      <c r="B8" s="32" t="n">
        <v>4150</v>
      </c>
      <c r="C8" s="33" t="s">
        <v>68</v>
      </c>
    </row>
    <row r="10" customFormat="false" ht="15" hidden="false" customHeight="true" outlineLevel="0" collapsed="false">
      <c r="A10" s="4" t="s">
        <v>69</v>
      </c>
      <c r="B10" s="4"/>
      <c r="C10" s="4"/>
      <c r="D10" s="4"/>
      <c r="E10" s="4"/>
    </row>
    <row r="11" customFormat="false" ht="15" hidden="false" customHeight="true" outlineLevel="0" collapsed="false">
      <c r="A11" s="1" t="s">
        <v>70</v>
      </c>
      <c r="B11" s="34" t="n">
        <v>0.1</v>
      </c>
    </row>
    <row r="12" customFormat="false" ht="15" hidden="false" customHeight="true" outlineLevel="0" collapsed="false">
      <c r="A12" s="1" t="s">
        <v>71</v>
      </c>
      <c r="B12" s="34" t="n">
        <v>0.4</v>
      </c>
    </row>
    <row r="14" customFormat="false" ht="15" hidden="false" customHeight="true" outlineLevel="0" collapsed="false">
      <c r="A14" s="4" t="s">
        <v>72</v>
      </c>
      <c r="B14" s="4"/>
      <c r="C14" s="4"/>
      <c r="D14" s="4"/>
      <c r="E14" s="4"/>
    </row>
    <row r="15" customFormat="false" ht="15" hidden="false" customHeight="true" outlineLevel="0" collapsed="false">
      <c r="A15" s="1" t="s">
        <v>73</v>
      </c>
      <c r="B15" s="35" t="n">
        <f aca="false">B5*B6</f>
        <v>30000</v>
      </c>
    </row>
    <row r="16" customFormat="false" ht="15" hidden="false" customHeight="true" outlineLevel="0" collapsed="false">
      <c r="A16" s="1" t="s">
        <v>74</v>
      </c>
      <c r="B16" s="35" t="n">
        <f aca="false">B5*B7</f>
        <v>45000</v>
      </c>
    </row>
    <row r="17" customFormat="false" ht="15" hidden="false" customHeight="true" outlineLevel="0" collapsed="false">
      <c r="A17" s="1" t="s">
        <v>75</v>
      </c>
      <c r="B17" s="36" t="n">
        <f aca="false">(B15/1000000*B11)+(B16/1000000*B12)</f>
        <v>0.021</v>
      </c>
    </row>
    <row r="18" customFormat="false" ht="15" hidden="false" customHeight="true" outlineLevel="0" collapsed="false">
      <c r="A18" s="1" t="s">
        <v>76</v>
      </c>
      <c r="B18" s="37" t="n">
        <f aca="false">B17*B8</f>
        <v>87.15</v>
      </c>
    </row>
    <row r="20" customFormat="false" ht="15" hidden="false" customHeight="true" outlineLevel="0" collapsed="false">
      <c r="A20" s="4" t="s">
        <v>77</v>
      </c>
      <c r="B20" s="4"/>
      <c r="C20" s="4"/>
      <c r="D20" s="4"/>
      <c r="E20" s="4"/>
    </row>
    <row r="21" customFormat="false" ht="15" hidden="false" customHeight="true" outlineLevel="0" collapsed="false">
      <c r="A21" s="1" t="s">
        <v>78</v>
      </c>
      <c r="B21" s="38" t="n">
        <v>200</v>
      </c>
      <c r="C21" s="39" t="s">
        <v>79</v>
      </c>
    </row>
    <row r="22" customFormat="false" ht="15" hidden="false" customHeight="true" outlineLevel="0" collapsed="false">
      <c r="A22" s="1" t="s">
        <v>80</v>
      </c>
      <c r="B22" s="38" t="n">
        <v>100</v>
      </c>
      <c r="C22" s="39" t="s">
        <v>81</v>
      </c>
    </row>
    <row r="23" customFormat="false" ht="15" hidden="false" customHeight="true" outlineLevel="0" collapsed="false">
      <c r="A23" s="1" t="s">
        <v>82</v>
      </c>
      <c r="B23" s="38" t="n">
        <v>1150</v>
      </c>
      <c r="C23" s="39" t="s">
        <v>83</v>
      </c>
    </row>
    <row r="25" customFormat="false" ht="24" hidden="false" customHeight="true" outlineLevel="0" collapsed="false">
      <c r="A25" s="40" t="s">
        <v>84</v>
      </c>
      <c r="B25" s="41" t="n">
        <f aca="false">B18+B21+B22+B23</f>
        <v>1537.15</v>
      </c>
    </row>
    <row r="27" customFormat="false" ht="15" hidden="false" customHeight="true" outlineLevel="0" collapsed="false">
      <c r="A27" s="4" t="s">
        <v>85</v>
      </c>
      <c r="B27" s="4"/>
      <c r="C27" s="4"/>
      <c r="D27" s="4"/>
      <c r="E27" s="4"/>
    </row>
    <row r="28" customFormat="false" ht="26.25" hidden="false" customHeight="true" outlineLevel="0" collapsed="false">
      <c r="A28" s="5" t="s">
        <v>86</v>
      </c>
      <c r="B28" s="5" t="s">
        <v>87</v>
      </c>
      <c r="C28" s="5" t="s">
        <v>88</v>
      </c>
      <c r="D28" s="5" t="s">
        <v>89</v>
      </c>
      <c r="E28" s="5" t="s">
        <v>90</v>
      </c>
    </row>
    <row r="29" customFormat="false" ht="15" hidden="false" customHeight="true" outlineLevel="0" collapsed="false">
      <c r="A29" s="42" t="s">
        <v>91</v>
      </c>
      <c r="B29" s="42" t="n">
        <v>5</v>
      </c>
      <c r="C29" s="43" t="n">
        <f aca="false">((5*B6)/1000000*B11+(5*B7)/1000000*B12)*B8</f>
        <v>29.05</v>
      </c>
      <c r="D29" s="43" t="n">
        <f aca="false">C29+B21+B22+B23</f>
        <v>1479.05</v>
      </c>
      <c r="E29" s="44" t="n">
        <f aca="false">D29/18000</f>
        <v>0.0821694444444445</v>
      </c>
    </row>
    <row r="30" customFormat="false" ht="15" hidden="false" customHeight="true" outlineLevel="0" collapsed="false">
      <c r="A30" s="42" t="s">
        <v>92</v>
      </c>
      <c r="B30" s="42" t="n">
        <v>15</v>
      </c>
      <c r="C30" s="43" t="n">
        <f aca="false">((15*B6)/1000000*B11+(15*B7)/1000000*B12)*B8</f>
        <v>87.15</v>
      </c>
      <c r="D30" s="43" t="n">
        <f aca="false">C30+B21+B22+B23</f>
        <v>1537.15</v>
      </c>
      <c r="E30" s="44" t="n">
        <f aca="false">D30/18000</f>
        <v>0.0853972222222222</v>
      </c>
    </row>
    <row r="31" customFormat="false" ht="15" hidden="false" customHeight="true" outlineLevel="0" collapsed="false">
      <c r="A31" s="42" t="s">
        <v>93</v>
      </c>
      <c r="B31" s="42" t="n">
        <v>30</v>
      </c>
      <c r="C31" s="43" t="n">
        <f aca="false">((30*B6)/1000000*B11+(30*B7)/1000000*B12)*B8</f>
        <v>174.3</v>
      </c>
      <c r="D31" s="43" t="n">
        <f aca="false">C31+B21+B22+B23</f>
        <v>1624.3</v>
      </c>
      <c r="E31" s="44" t="n">
        <f aca="false">D31/18000</f>
        <v>0.0902388888888889</v>
      </c>
    </row>
    <row r="32" customFormat="false" ht="15" hidden="false" customHeight="true" outlineLevel="0" collapsed="false">
      <c r="A32" s="42" t="s">
        <v>94</v>
      </c>
      <c r="B32" s="42" t="n">
        <v>60</v>
      </c>
      <c r="C32" s="43" t="n">
        <f aca="false">((60*B6)/1000000*B11+(60*B7)/1000000*B12)*B8</f>
        <v>348.6</v>
      </c>
      <c r="D32" s="43" t="n">
        <f aca="false">C32+B21+B22+B23</f>
        <v>1798.6</v>
      </c>
      <c r="E32" s="44" t="n">
        <f aca="false">D32/18000</f>
        <v>0.0999222222222222</v>
      </c>
    </row>
    <row r="33" customFormat="false" ht="15" hidden="false" customHeight="true" outlineLevel="0" collapsed="false">
      <c r="A33" s="42" t="s">
        <v>95</v>
      </c>
      <c r="B33" s="42" t="n">
        <v>100</v>
      </c>
      <c r="C33" s="43" t="n">
        <f aca="false">((100*B6)/1000000*B11+(100*B7)/1000000*B12)*B8</f>
        <v>581</v>
      </c>
      <c r="D33" s="43" t="n">
        <f aca="false">C33+B21+B22+B23</f>
        <v>2031</v>
      </c>
      <c r="E33" s="44" t="n">
        <f aca="false">D33/18000</f>
        <v>0.112833333333333</v>
      </c>
    </row>
  </sheetData>
  <mergeCells count="6">
    <mergeCell ref="A1:E1"/>
    <mergeCell ref="A3:E3"/>
    <mergeCell ref="A10:E10"/>
    <mergeCell ref="A14:E14"/>
    <mergeCell ref="A20:E20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3" min="2" style="1" width="22"/>
    <col collapsed="false" customWidth="true" hidden="false" outlineLevel="0" max="4" min="4" style="1" width="20"/>
  </cols>
  <sheetData>
    <row r="1" customFormat="false" ht="27.75" hidden="false" customHeight="true" outlineLevel="0" collapsed="false">
      <c r="A1" s="2" t="s">
        <v>96</v>
      </c>
      <c r="B1" s="2"/>
      <c r="C1" s="2"/>
      <c r="D1" s="2"/>
      <c r="E1" s="2"/>
    </row>
    <row r="3" customFormat="false" ht="15" hidden="false" customHeight="true" outlineLevel="0" collapsed="false">
      <c r="A3" s="4" t="s">
        <v>97</v>
      </c>
      <c r="B3" s="4"/>
      <c r="C3" s="4"/>
      <c r="D3" s="4"/>
      <c r="E3" s="4"/>
    </row>
    <row r="4" customFormat="false" ht="26.25" hidden="false" customHeight="true" outlineLevel="0" collapsed="false">
      <c r="A4" s="5" t="s">
        <v>98</v>
      </c>
      <c r="B4" s="5" t="s">
        <v>4</v>
      </c>
      <c r="C4" s="5" t="s">
        <v>5</v>
      </c>
      <c r="D4" s="5" t="s">
        <v>99</v>
      </c>
    </row>
    <row r="5" customFormat="false" ht="15" hidden="false" customHeight="true" outlineLevel="0" collapsed="false">
      <c r="A5" s="17" t="s">
        <v>100</v>
      </c>
      <c r="B5" s="45" t="n">
        <v>50</v>
      </c>
      <c r="C5" s="45" t="n">
        <v>1000</v>
      </c>
      <c r="D5" s="33" t="s">
        <v>101</v>
      </c>
    </row>
    <row r="6" customFormat="false" ht="15" hidden="false" customHeight="true" outlineLevel="0" collapsed="false">
      <c r="A6" s="17" t="s">
        <v>102</v>
      </c>
      <c r="B6" s="46" t="n">
        <v>18000</v>
      </c>
      <c r="C6" s="46" t="n">
        <v>11000</v>
      </c>
      <c r="D6" s="33" t="s">
        <v>103</v>
      </c>
    </row>
    <row r="7" customFormat="false" ht="15" hidden="false" customHeight="true" outlineLevel="0" collapsed="false">
      <c r="A7" s="17" t="s">
        <v>104</v>
      </c>
      <c r="B7" s="46" t="n">
        <v>1537</v>
      </c>
      <c r="C7" s="46" t="n">
        <v>1537</v>
      </c>
      <c r="D7" s="33" t="s">
        <v>105</v>
      </c>
    </row>
    <row r="8" customFormat="false" ht="15" hidden="false" customHeight="true" outlineLevel="0" collapsed="false">
      <c r="A8" s="17" t="s">
        <v>106</v>
      </c>
      <c r="B8" s="45" t="n">
        <v>12</v>
      </c>
      <c r="C8" s="45" t="n">
        <v>12</v>
      </c>
      <c r="D8" s="33" t="s">
        <v>107</v>
      </c>
    </row>
    <row r="9" customFormat="false" ht="15" hidden="false" customHeight="true" outlineLevel="0" collapsed="false">
      <c r="A9" s="17" t="s">
        <v>108</v>
      </c>
      <c r="B9" s="47" t="n">
        <v>0.9</v>
      </c>
      <c r="C9" s="47" t="n">
        <v>0.95</v>
      </c>
      <c r="D9" s="33" t="s">
        <v>109</v>
      </c>
    </row>
    <row r="10" customFormat="false" ht="15" hidden="false" customHeight="true" outlineLevel="0" collapsed="false">
      <c r="A10" s="17" t="s">
        <v>110</v>
      </c>
      <c r="B10" s="46" t="n">
        <v>500000</v>
      </c>
      <c r="C10" s="46" t="n">
        <v>5000000</v>
      </c>
      <c r="D10" s="33" t="s">
        <v>111</v>
      </c>
    </row>
    <row r="11" customFormat="false" ht="15" hidden="false" customHeight="true" outlineLevel="0" collapsed="false">
      <c r="A11" s="17" t="s">
        <v>112</v>
      </c>
      <c r="B11" s="47" t="n">
        <v>0.05</v>
      </c>
      <c r="C11" s="47" t="n">
        <v>0.08</v>
      </c>
      <c r="D11" s="33" t="s">
        <v>113</v>
      </c>
    </row>
    <row r="14" customFormat="false" ht="15" hidden="false" customHeight="true" outlineLevel="0" collapsed="false">
      <c r="A14" s="4" t="s">
        <v>114</v>
      </c>
      <c r="B14" s="4"/>
      <c r="C14" s="4"/>
      <c r="D14" s="4"/>
    </row>
    <row r="15" customFormat="false" ht="26.25" hidden="false" customHeight="true" outlineLevel="0" collapsed="false">
      <c r="A15" s="5" t="s">
        <v>98</v>
      </c>
      <c r="B15" s="5" t="s">
        <v>4</v>
      </c>
      <c r="C15" s="5" t="s">
        <v>5</v>
      </c>
      <c r="D15" s="5" t="s">
        <v>6</v>
      </c>
    </row>
    <row r="16" customFormat="false" ht="15" hidden="false" customHeight="true" outlineLevel="0" collapsed="false">
      <c r="A16" s="17" t="s">
        <v>115</v>
      </c>
      <c r="B16" s="43" t="n">
        <f aca="false">B5*B6*B8</f>
        <v>10800000</v>
      </c>
      <c r="C16" s="43" t="n">
        <f aca="false">C5*C6*C8</f>
        <v>132000000</v>
      </c>
      <c r="D16" s="43" t="n">
        <f aca="false">C16-B16</f>
        <v>121200000</v>
      </c>
    </row>
    <row r="17" customFormat="false" ht="15" hidden="false" customHeight="true" outlineLevel="0" collapsed="false">
      <c r="A17" s="42" t="s">
        <v>116</v>
      </c>
      <c r="B17" s="43" t="n">
        <f aca="false">-B5*B7*B8</f>
        <v>-922200</v>
      </c>
      <c r="C17" s="43" t="n">
        <f aca="false">-C5*C7*C8</f>
        <v>-18444000</v>
      </c>
      <c r="D17" s="43" t="n">
        <f aca="false">C17-B17</f>
        <v>-17521800</v>
      </c>
    </row>
    <row r="18" customFormat="false" ht="15" hidden="false" customHeight="true" outlineLevel="0" collapsed="false">
      <c r="A18" s="20" t="s">
        <v>117</v>
      </c>
      <c r="B18" s="48" t="n">
        <f aca="false">B16+B17</f>
        <v>9877800</v>
      </c>
      <c r="C18" s="48" t="n">
        <f aca="false">C16+C17</f>
        <v>113556000</v>
      </c>
      <c r="D18" s="48" t="n">
        <f aca="false">C18-B18</f>
        <v>103678200</v>
      </c>
    </row>
    <row r="19" customFormat="false" ht="15" hidden="false" customHeight="true" outlineLevel="0" collapsed="false">
      <c r="A19" s="49" t="s">
        <v>118</v>
      </c>
      <c r="B19" s="50" t="n">
        <f aca="false">B18/B16</f>
        <v>0.914611111111111</v>
      </c>
      <c r="C19" s="50" t="n">
        <f aca="false">C18/C16</f>
        <v>0.860272727272727</v>
      </c>
      <c r="D19" s="50" t="n">
        <f aca="false">C19-B19</f>
        <v>-0.0543383838383839</v>
      </c>
    </row>
    <row r="21" customFormat="false" ht="15" hidden="false" customHeight="true" outlineLevel="0" collapsed="false">
      <c r="A21" s="51" t="s">
        <v>119</v>
      </c>
      <c r="B21" s="51"/>
      <c r="C21" s="51"/>
      <c r="D21" s="51"/>
    </row>
    <row r="22" customFormat="false" ht="15" hidden="false" customHeight="true" outlineLevel="0" collapsed="false">
      <c r="A22" s="42" t="s">
        <v>120</v>
      </c>
      <c r="B22" s="43" t="n">
        <f aca="false">-2500000*0.05*12</f>
        <v>-1500000</v>
      </c>
      <c r="C22" s="43" t="n">
        <f aca="false">-2500000*0.4*12</f>
        <v>-12000000</v>
      </c>
      <c r="D22" s="43" t="n">
        <f aca="false">C22-B22</f>
        <v>-10500000</v>
      </c>
    </row>
    <row r="23" customFormat="false" ht="15" hidden="false" customHeight="true" outlineLevel="0" collapsed="false">
      <c r="A23" s="42" t="s">
        <v>121</v>
      </c>
      <c r="B23" s="43" t="n">
        <v>-300000</v>
      </c>
      <c r="C23" s="43" t="n">
        <v>-3500000</v>
      </c>
      <c r="D23" s="43" t="n">
        <f aca="false">C23-B23</f>
        <v>-3200000</v>
      </c>
    </row>
    <row r="24" customFormat="false" ht="15" hidden="false" customHeight="true" outlineLevel="0" collapsed="false">
      <c r="A24" s="20" t="s">
        <v>122</v>
      </c>
      <c r="B24" s="48" t="n">
        <f aca="false">B18+B22+B23</f>
        <v>8077800</v>
      </c>
      <c r="C24" s="48" t="n">
        <f aca="false">C18+C22+C23</f>
        <v>98056000</v>
      </c>
      <c r="D24" s="48" t="n">
        <f aca="false">C24-B24</f>
        <v>89978200</v>
      </c>
    </row>
    <row r="25" customFormat="false" ht="15" hidden="false" customHeight="true" outlineLevel="0" collapsed="false">
      <c r="A25" s="42" t="s">
        <v>123</v>
      </c>
      <c r="B25" s="50" t="n">
        <f aca="false">B24/B16</f>
        <v>0.747944444444444</v>
      </c>
      <c r="C25" s="50" t="n">
        <f aca="false">C24/C16</f>
        <v>0.742848484848485</v>
      </c>
      <c r="D25" s="50" t="n">
        <f aca="false">C25-B25</f>
        <v>-0.00509595959595954</v>
      </c>
    </row>
    <row r="27" customFormat="false" ht="15" hidden="false" customHeight="true" outlineLevel="0" collapsed="false">
      <c r="A27" s="4" t="s">
        <v>124</v>
      </c>
      <c r="B27" s="4"/>
      <c r="C27" s="4"/>
      <c r="D27" s="4"/>
    </row>
    <row r="28" customFormat="false" ht="15" hidden="false" customHeight="true" outlineLevel="0" collapsed="false">
      <c r="A28" s="42" t="s">
        <v>125</v>
      </c>
      <c r="B28" s="52" t="n">
        <f aca="false">B18/(-B17)</f>
        <v>10.7111255692908</v>
      </c>
      <c r="C28" s="52" t="n">
        <f aca="false">C18/(-C17)</f>
        <v>6.15679895901106</v>
      </c>
      <c r="D28" s="52" t="n">
        <f aca="false">C28-B28</f>
        <v>-4.55432661027977</v>
      </c>
    </row>
    <row r="29" customFormat="false" ht="15" hidden="false" customHeight="true" outlineLevel="0" collapsed="false">
      <c r="A29" s="42" t="s">
        <v>126</v>
      </c>
      <c r="B29" s="50" t="n">
        <f aca="false">B24/(-B17-B22-B23+B10)</f>
        <v>2.5069207373844</v>
      </c>
      <c r="C29" s="50" t="n">
        <f aca="false">C24/(-C17-C22-C23+C10)</f>
        <v>2.51787181594084</v>
      </c>
      <c r="D29" s="50" t="n">
        <f aca="false">C29-B29</f>
        <v>0.0109510785564422</v>
      </c>
    </row>
    <row r="30" customFormat="false" ht="15" hidden="false" customHeight="true" outlineLevel="0" collapsed="false">
      <c r="A30" s="42" t="s">
        <v>127</v>
      </c>
      <c r="B30" s="53" t="n">
        <f aca="false">B10/(B18/12)</f>
        <v>0.60742270546073</v>
      </c>
      <c r="C30" s="53" t="n">
        <f aca="false">C10/(C18/12)</f>
        <v>0.528373665856494</v>
      </c>
      <c r="D30" s="53" t="n">
        <f aca="false">C30-B30</f>
        <v>-0.0790490396042364</v>
      </c>
    </row>
    <row r="31" customFormat="false" ht="15" hidden="false" customHeight="true" outlineLevel="0" collapsed="false">
      <c r="A31" s="42" t="s">
        <v>128</v>
      </c>
      <c r="B31" s="54" t="n">
        <f aca="false">B18*(B9+B9^2+B9^3)</f>
        <v>24091954.2</v>
      </c>
      <c r="C31" s="54" t="n">
        <f aca="false">C18*(C9+C9^2+C9^3)</f>
        <v>307722565.5</v>
      </c>
      <c r="D31" s="54" t="n">
        <f aca="false">C31-B31</f>
        <v>283630611.3</v>
      </c>
    </row>
    <row r="32" customFormat="false" ht="15" hidden="false" customHeight="true" outlineLevel="0" collapsed="false">
      <c r="A32" s="42" t="s">
        <v>129</v>
      </c>
      <c r="B32" s="55" t="n">
        <f aca="false">B31/B10</f>
        <v>48.1839084</v>
      </c>
      <c r="C32" s="55" t="n">
        <f aca="false">C31/C10</f>
        <v>61.5445131</v>
      </c>
      <c r="D32" s="55" t="n">
        <f aca="false">C32-B32</f>
        <v>13.3606047</v>
      </c>
    </row>
    <row r="34" customFormat="false" ht="15" hidden="false" customHeight="true" outlineLevel="0" collapsed="false">
      <c r="A34" s="56" t="s">
        <v>130</v>
      </c>
      <c r="B34" s="56"/>
      <c r="C34" s="56"/>
      <c r="D34" s="56"/>
    </row>
  </sheetData>
  <mergeCells count="6">
    <mergeCell ref="A1:E1"/>
    <mergeCell ref="A3:E3"/>
    <mergeCell ref="A14:D14"/>
    <mergeCell ref="A21:D21"/>
    <mergeCell ref="A27:D27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7" min="2" style="1" width="16"/>
  </cols>
  <sheetData>
    <row r="1" customFormat="false" ht="27.75" hidden="false" customHeight="true" outlineLevel="0" collapsed="false">
      <c r="A1" s="2" t="s">
        <v>131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5" t="s">
        <v>98</v>
      </c>
      <c r="B3" s="5" t="n">
        <v>2027</v>
      </c>
      <c r="C3" s="5" t="n">
        <v>2028</v>
      </c>
      <c r="D3" s="5" t="n">
        <v>2029</v>
      </c>
      <c r="E3" s="5" t="n">
        <v>2030</v>
      </c>
      <c r="F3" s="5" t="n">
        <v>2031</v>
      </c>
      <c r="G3" s="5" t="s">
        <v>132</v>
      </c>
    </row>
    <row r="5" customFormat="false" ht="15" hidden="false" customHeight="true" outlineLevel="0" collapsed="false">
      <c r="A5" s="4" t="s">
        <v>133</v>
      </c>
      <c r="B5" s="4"/>
      <c r="C5" s="4"/>
      <c r="D5" s="4"/>
      <c r="E5" s="4"/>
      <c r="F5" s="4"/>
      <c r="G5" s="4"/>
    </row>
    <row r="6" customFormat="false" ht="15" hidden="false" customHeight="true" outlineLevel="0" collapsed="false">
      <c r="A6" s="17" t="s">
        <v>134</v>
      </c>
      <c r="B6" s="43" t="n">
        <v>10800000</v>
      </c>
      <c r="C6" s="43" t="n">
        <f aca="false">B6*1.05</f>
        <v>11340000</v>
      </c>
      <c r="D6" s="43" t="n">
        <f aca="false">C6*1.05</f>
        <v>11907000</v>
      </c>
      <c r="E6" s="43" t="n">
        <f aca="false">D6*1.05</f>
        <v>12502350</v>
      </c>
      <c r="F6" s="43" t="n">
        <f aca="false">E6*1.05</f>
        <v>13127467.5</v>
      </c>
      <c r="G6" s="54" t="n">
        <f aca="false">SUM(B6:F6)</f>
        <v>59676817.5</v>
      </c>
    </row>
    <row r="7" customFormat="false" ht="15" hidden="false" customHeight="true" outlineLevel="0" collapsed="false">
      <c r="A7" s="42" t="s">
        <v>135</v>
      </c>
      <c r="B7" s="43" t="n">
        <v>-922200</v>
      </c>
      <c r="C7" s="43" t="n">
        <f aca="false">B7*1.04</f>
        <v>-959088</v>
      </c>
      <c r="D7" s="43" t="n">
        <f aca="false">C7*1.04</f>
        <v>-997451.52</v>
      </c>
      <c r="E7" s="43" t="n">
        <f aca="false">D7*1.04</f>
        <v>-1037349.5808</v>
      </c>
      <c r="F7" s="43" t="n">
        <f aca="false">E7*1.04</f>
        <v>-1078843.564032</v>
      </c>
      <c r="G7" s="54" t="n">
        <f aca="false">SUM(B7:F7)</f>
        <v>-4994932.664832</v>
      </c>
    </row>
    <row r="8" customFormat="false" ht="15" hidden="false" customHeight="true" outlineLevel="0" collapsed="false">
      <c r="A8" s="17" t="s">
        <v>136</v>
      </c>
      <c r="B8" s="48" t="n">
        <f aca="false">B6+B7</f>
        <v>9877800</v>
      </c>
      <c r="C8" s="48" t="n">
        <f aca="false">C6+C7</f>
        <v>10380912</v>
      </c>
      <c r="D8" s="48" t="n">
        <f aca="false">D6+D7</f>
        <v>10909548.48</v>
      </c>
      <c r="E8" s="48" t="n">
        <f aca="false">E6+E7</f>
        <v>11465000.4192</v>
      </c>
      <c r="F8" s="48" t="n">
        <f aca="false">F6+F7</f>
        <v>12048623.935968</v>
      </c>
      <c r="G8" s="48" t="n">
        <f aca="false">SUM(B8:F8)</f>
        <v>54681884.835168</v>
      </c>
    </row>
    <row r="9" customFormat="false" ht="15" hidden="false" customHeight="true" outlineLevel="0" collapsed="false">
      <c r="A9" s="42" t="s">
        <v>137</v>
      </c>
      <c r="B9" s="43" t="n">
        <v>-1800000</v>
      </c>
      <c r="C9" s="43" t="n">
        <f aca="false">B9*1.05</f>
        <v>-1890000</v>
      </c>
      <c r="D9" s="43" t="n">
        <f aca="false">C9*1.05</f>
        <v>-1984500</v>
      </c>
      <c r="E9" s="43" t="n">
        <f aca="false">D9*1.05</f>
        <v>-2083725</v>
      </c>
      <c r="F9" s="43" t="n">
        <f aca="false">E9*1.05</f>
        <v>-2187911.25</v>
      </c>
      <c r="G9" s="54" t="n">
        <f aca="false">SUM(B9:F9)</f>
        <v>-9946136.25</v>
      </c>
    </row>
    <row r="10" customFormat="false" ht="15" hidden="false" customHeight="true" outlineLevel="0" collapsed="false">
      <c r="A10" s="17" t="s">
        <v>138</v>
      </c>
      <c r="B10" s="48" t="n">
        <f aca="false">B8+B9</f>
        <v>8077800</v>
      </c>
      <c r="C10" s="48" t="n">
        <f aca="false">C8+C9</f>
        <v>8490912</v>
      </c>
      <c r="D10" s="48" t="n">
        <f aca="false">D8+D9</f>
        <v>8925048.48</v>
      </c>
      <c r="E10" s="48" t="n">
        <f aca="false">E8+E9</f>
        <v>9381275.4192</v>
      </c>
      <c r="F10" s="48" t="n">
        <f aca="false">F8+F9</f>
        <v>9860712.685968</v>
      </c>
      <c r="G10" s="48" t="n">
        <f aca="false">SUM(B10:F10)</f>
        <v>44735748.585168</v>
      </c>
    </row>
    <row r="11" customFormat="false" ht="15" hidden="false" customHeight="true" outlineLevel="0" collapsed="false">
      <c r="A11" s="49" t="s">
        <v>139</v>
      </c>
      <c r="B11" s="44" t="n">
        <f aca="false">B10/B6</f>
        <v>0.747944444444444</v>
      </c>
      <c r="C11" s="44" t="n">
        <f aca="false">C10/C6</f>
        <v>0.748757671957672</v>
      </c>
      <c r="D11" s="44" t="n">
        <f aca="false">D10/D6</f>
        <v>0.749563154446964</v>
      </c>
      <c r="E11" s="44" t="n">
        <f aca="false">E10/E6</f>
        <v>0.750360965674453</v>
      </c>
      <c r="F11" s="44" t="n">
        <f aca="false">F10/F6</f>
        <v>0.751151178699776</v>
      </c>
      <c r="G11" s="50" t="n">
        <f aca="false">G10/G6</f>
        <v>0.74963361752942</v>
      </c>
    </row>
    <row r="13" customFormat="false" ht="15" hidden="false" customHeight="true" outlineLevel="0" collapsed="false">
      <c r="A13" s="4" t="s">
        <v>140</v>
      </c>
      <c r="B13" s="4"/>
      <c r="C13" s="4"/>
      <c r="D13" s="4"/>
      <c r="E13" s="4"/>
      <c r="F13" s="4"/>
      <c r="G13" s="4"/>
    </row>
    <row r="14" customFormat="false" ht="15" hidden="false" customHeight="true" outlineLevel="0" collapsed="false">
      <c r="A14" s="17" t="s">
        <v>134</v>
      </c>
      <c r="B14" s="43" t="n">
        <v>132000000</v>
      </c>
      <c r="C14" s="43" t="n">
        <f aca="false">B14*1.08</f>
        <v>142560000</v>
      </c>
      <c r="D14" s="43" t="n">
        <f aca="false">C14*1.08</f>
        <v>153964800</v>
      </c>
      <c r="E14" s="43" t="n">
        <f aca="false">D14*1.08</f>
        <v>166281984</v>
      </c>
      <c r="F14" s="43" t="n">
        <f aca="false">E14*1.08</f>
        <v>179584542.72</v>
      </c>
      <c r="G14" s="54" t="n">
        <f aca="false">SUM(B14:F14)</f>
        <v>774391326.72</v>
      </c>
    </row>
    <row r="15" customFormat="false" ht="15" hidden="false" customHeight="true" outlineLevel="0" collapsed="false">
      <c r="A15" s="42" t="s">
        <v>135</v>
      </c>
      <c r="B15" s="43" t="n">
        <v>-18444000</v>
      </c>
      <c r="C15" s="43" t="n">
        <f aca="false">B15*1.04</f>
        <v>-19181760</v>
      </c>
      <c r="D15" s="43" t="n">
        <f aca="false">C15*1.04</f>
        <v>-19949030.4</v>
      </c>
      <c r="E15" s="43" t="n">
        <f aca="false">D15*1.04</f>
        <v>-20746991.616</v>
      </c>
      <c r="F15" s="43" t="n">
        <f aca="false">E15*1.04</f>
        <v>-21576871.28064</v>
      </c>
      <c r="G15" s="54" t="n">
        <f aca="false">SUM(B15:F15)</f>
        <v>-99898653.29664</v>
      </c>
    </row>
    <row r="16" customFormat="false" ht="15" hidden="false" customHeight="true" outlineLevel="0" collapsed="false">
      <c r="A16" s="17" t="s">
        <v>136</v>
      </c>
      <c r="B16" s="48" t="n">
        <f aca="false">B14+B15</f>
        <v>113556000</v>
      </c>
      <c r="C16" s="48" t="n">
        <f aca="false">C14+C15</f>
        <v>123378240</v>
      </c>
      <c r="D16" s="48" t="n">
        <f aca="false">D14+D15</f>
        <v>134015769.6</v>
      </c>
      <c r="E16" s="48" t="n">
        <f aca="false">E14+E15</f>
        <v>145534992.384</v>
      </c>
      <c r="F16" s="48" t="n">
        <f aca="false">F14+F15</f>
        <v>158007671.43936</v>
      </c>
      <c r="G16" s="48" t="n">
        <f aca="false">SUM(B16:F16)</f>
        <v>674492673.42336</v>
      </c>
    </row>
    <row r="17" customFormat="false" ht="15" hidden="false" customHeight="true" outlineLevel="0" collapsed="false">
      <c r="A17" s="42" t="s">
        <v>137</v>
      </c>
      <c r="B17" s="43" t="n">
        <v>-15500000</v>
      </c>
      <c r="C17" s="43" t="n">
        <f aca="false">B17*1.05</f>
        <v>-16275000</v>
      </c>
      <c r="D17" s="43" t="n">
        <f aca="false">C17*1.05</f>
        <v>-17088750</v>
      </c>
      <c r="E17" s="43" t="n">
        <f aca="false">D17*1.05</f>
        <v>-17943187.5</v>
      </c>
      <c r="F17" s="43" t="n">
        <f aca="false">E17*1.05</f>
        <v>-18840346.875</v>
      </c>
      <c r="G17" s="54" t="n">
        <f aca="false">SUM(B17:F17)</f>
        <v>-85647284.375</v>
      </c>
    </row>
    <row r="18" customFormat="false" ht="15" hidden="false" customHeight="true" outlineLevel="0" collapsed="false">
      <c r="A18" s="17" t="s">
        <v>138</v>
      </c>
      <c r="B18" s="48" t="n">
        <f aca="false">B16+B17</f>
        <v>98056000</v>
      </c>
      <c r="C18" s="48" t="n">
        <f aca="false">C16+C17</f>
        <v>107103240</v>
      </c>
      <c r="D18" s="48" t="n">
        <f aca="false">D16+D17</f>
        <v>116927019.6</v>
      </c>
      <c r="E18" s="48" t="n">
        <f aca="false">E16+E17</f>
        <v>127591804.884</v>
      </c>
      <c r="F18" s="48" t="n">
        <f aca="false">F16+F17</f>
        <v>139167324.56436</v>
      </c>
      <c r="G18" s="48" t="n">
        <f aca="false">SUM(B18:F18)</f>
        <v>588845389.04836</v>
      </c>
    </row>
    <row r="19" customFormat="false" ht="15" hidden="false" customHeight="true" outlineLevel="0" collapsed="false">
      <c r="A19" s="49" t="s">
        <v>139</v>
      </c>
      <c r="B19" s="44" t="n">
        <f aca="false">B18/B14</f>
        <v>0.742848484848485</v>
      </c>
      <c r="C19" s="44" t="n">
        <f aca="false">C18/C14</f>
        <v>0.751285353535354</v>
      </c>
      <c r="D19" s="44" t="n">
        <f aca="false">D18/D14</f>
        <v>0.759439947312632</v>
      </c>
      <c r="E19" s="44" t="n">
        <f aca="false">E18/E14</f>
        <v>0.767321881870257</v>
      </c>
      <c r="F19" s="44" t="n">
        <f aca="false">F18/F14</f>
        <v>0.774940440065286</v>
      </c>
      <c r="G19" s="50" t="n">
        <f aca="false">G18/G14</f>
        <v>0.760397706857674</v>
      </c>
    </row>
    <row r="21" customFormat="false" ht="15" hidden="false" customHeight="true" outlineLevel="0" collapsed="false">
      <c r="A21" s="4" t="s">
        <v>141</v>
      </c>
      <c r="B21" s="4"/>
      <c r="C21" s="4"/>
      <c r="D21" s="4"/>
      <c r="E21" s="4"/>
      <c r="F21" s="4"/>
      <c r="G21" s="4"/>
    </row>
    <row r="22" customFormat="false" ht="17.25" hidden="false" customHeight="true" outlineLevel="0" collapsed="false">
      <c r="A22" s="42" t="s">
        <v>142</v>
      </c>
      <c r="B22" s="57" t="n">
        <f aca="false">G10</f>
        <v>44735748.585168</v>
      </c>
    </row>
    <row r="23" customFormat="false" ht="17.25" hidden="false" customHeight="true" outlineLevel="0" collapsed="false">
      <c r="A23" s="42" t="s">
        <v>143</v>
      </c>
      <c r="B23" s="57" t="n">
        <f aca="false">G18</f>
        <v>588845389.04836</v>
      </c>
    </row>
    <row r="24" customFormat="false" ht="17.25" hidden="false" customHeight="true" outlineLevel="0" collapsed="false">
      <c r="A24" s="42" t="s">
        <v>144</v>
      </c>
      <c r="B24" s="58" t="n">
        <f aca="false">G18/G10</f>
        <v>13.1627480856236</v>
      </c>
    </row>
  </sheetData>
  <mergeCells count="4">
    <mergeCell ref="A1:H1"/>
    <mergeCell ref="A5:G5"/>
    <mergeCell ref="A13:G13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2026-05-26T03:30:54Z</dcterms:created>
  <dc:creator>openpyxl</dc:creator>
  <dc:description/>
  <dc:language>en-US</dc:language>
  <cp:lastModifiedBy/>
  <dcterms:modified xsi:type="dcterms:W3CDTF">2026-05-26T03:31:06Z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