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AFEDE44B-0BA7-4624-B64B-20CE3693150C}" xr6:coauthVersionLast="47" xr6:coauthVersionMax="47" xr10:uidLastSave="{00000000-0000-0000-0000-000000000000}"/>
  <bookViews>
    <workbookView xWindow="11424" yWindow="0" windowWidth="11712" windowHeight="13056" firstSheet="4" activeTab="5" xr2:uid="{00000000-000D-0000-FFFF-FFFF00000000}"/>
  </bookViews>
  <sheets>
    <sheet name="INICIO" sheetId="1" r:id="rId1"/>
    <sheet name="INGRESOS" sheetId="3" r:id="rId2"/>
    <sheet name="COSTOS" sheetId="2" r:id="rId3"/>
    <sheet name="GASTOS" sheetId="4" r:id="rId4"/>
    <sheet name="INVERSIONES" sheetId="5" r:id="rId5"/>
    <sheet name="FINANCIACIÓN" sheetId="6" r:id="rId6"/>
    <sheet name="PRESUPUESTO" sheetId="7" r:id="rId7"/>
    <sheet name="EEFF" sheetId="10" r:id="rId8"/>
    <sheet name="INDICADORES" sheetId="8" r:id="rId9"/>
  </sheets>
  <definedNames>
    <definedName name="_xlchart.v1.0" hidden="1">EEFF!$C$19:$H$19</definedName>
    <definedName name="_xlchart.v1.1" hidden="1">EEFF!$C$7:$H$7</definedName>
    <definedName name="_xlchart.v1.2" hidden="1">EEFF!$C$15:$H$15</definedName>
    <definedName name="_xlchart.v1.3" hidden="1">EEFF!$C$7:$H$7</definedName>
    <definedName name="Año1">INICIO!$B$28</definedName>
    <definedName name="Año2">INICIO!$C$28</definedName>
    <definedName name="Año3">INICIO!$D$28</definedName>
    <definedName name="Año4">INICIO!$E$28</definedName>
    <definedName name="Año5">INICIO!$F$28</definedName>
    <definedName name="Producto1">INICIO!$B$40</definedName>
    <definedName name="Producto10">INICIO!$B$49</definedName>
    <definedName name="Producto11">INICIO!$B$50</definedName>
    <definedName name="Producto12">INICIO!$B$51</definedName>
    <definedName name="Producto13">INICIO!$B$52</definedName>
    <definedName name="Producto14">INICIO!$B$53</definedName>
    <definedName name="Producto15">INICIO!$B$54</definedName>
    <definedName name="Producto2">INICIO!$B$41</definedName>
    <definedName name="Producto3">INICIO!$B$42</definedName>
    <definedName name="Producto4">INICIO!$B$43</definedName>
    <definedName name="Producto5">INICIO!$B$44</definedName>
    <definedName name="Producto6">INICIO!$B$45</definedName>
    <definedName name="Producto7">INICIO!$B$46</definedName>
    <definedName name="Producto8">INICIO!$B$47</definedName>
    <definedName name="Producto9">INICIO!$B$48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B31" i="1"/>
  <c r="C60" i="7"/>
  <c r="H35" i="10"/>
  <c r="G35" i="10"/>
  <c r="F35" i="10"/>
  <c r="E35" i="10"/>
  <c r="D35" i="10"/>
  <c r="C35" i="10"/>
  <c r="C33" i="10"/>
  <c r="B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5" i="3"/>
  <c r="A16" i="3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25" i="2"/>
  <c r="B8" i="8"/>
  <c r="C8" i="8"/>
  <c r="BO33" i="6"/>
  <c r="BO34" i="6"/>
  <c r="BO35" i="6"/>
  <c r="BO36" i="6"/>
  <c r="BO37" i="6"/>
  <c r="BO38" i="6"/>
  <c r="BO39" i="6"/>
  <c r="BO40" i="6"/>
  <c r="BO41" i="6"/>
  <c r="BO42" i="6"/>
  <c r="BO43" i="6"/>
  <c r="BO44" i="6"/>
  <c r="BO45" i="6"/>
  <c r="BO46" i="6"/>
  <c r="BO32" i="6"/>
  <c r="BM32" i="6"/>
  <c r="A14" i="6"/>
  <c r="BL16" i="6"/>
  <c r="BL22" i="6"/>
  <c r="BL23" i="6"/>
  <c r="BN34" i="6"/>
  <c r="BN35" i="6"/>
  <c r="BN36" i="6"/>
  <c r="BN37" i="6"/>
  <c r="BN38" i="6"/>
  <c r="BN39" i="6"/>
  <c r="BN40" i="6"/>
  <c r="BN41" i="6"/>
  <c r="BN42" i="6"/>
  <c r="BN43" i="6"/>
  <c r="BN44" i="6"/>
  <c r="BN45" i="6"/>
  <c r="BN46" i="6"/>
  <c r="BN33" i="6"/>
  <c r="BN32" i="6"/>
  <c r="BL10" i="6"/>
  <c r="BL11" i="6"/>
  <c r="BL12" i="6"/>
  <c r="BL13" i="6"/>
  <c r="BL14" i="6"/>
  <c r="BL15" i="6"/>
  <c r="BL17" i="6"/>
  <c r="BL18" i="6"/>
  <c r="BL19" i="6"/>
  <c r="BL20" i="6"/>
  <c r="BL21" i="6"/>
  <c r="BL9" i="6"/>
  <c r="B60" i="4"/>
  <c r="B48" i="2"/>
  <c r="A64" i="5"/>
  <c r="A65" i="5"/>
  <c r="A66" i="5"/>
  <c r="BA28" i="6"/>
  <c r="BB28" i="6"/>
  <c r="BC28" i="6"/>
  <c r="BD28" i="6"/>
  <c r="BE28" i="6"/>
  <c r="BF28" i="6"/>
  <c r="BG28" i="6"/>
  <c r="BH28" i="6"/>
  <c r="BI28" i="6"/>
  <c r="BJ28" i="6"/>
  <c r="BK28" i="6"/>
  <c r="AZ28" i="6"/>
  <c r="AO28" i="6"/>
  <c r="AP28" i="6"/>
  <c r="AQ28" i="6"/>
  <c r="AR28" i="6"/>
  <c r="AS28" i="6"/>
  <c r="AT28" i="6"/>
  <c r="AU28" i="6"/>
  <c r="AV28" i="6"/>
  <c r="AW28" i="6"/>
  <c r="AX28" i="6"/>
  <c r="AY28" i="6"/>
  <c r="AN28" i="6"/>
  <c r="AC28" i="6"/>
  <c r="AD28" i="6"/>
  <c r="AE28" i="6"/>
  <c r="AF28" i="6"/>
  <c r="AG28" i="6"/>
  <c r="AH28" i="6"/>
  <c r="AI28" i="6"/>
  <c r="AJ28" i="6"/>
  <c r="AK28" i="6"/>
  <c r="AL28" i="6"/>
  <c r="AM28" i="6"/>
  <c r="AB28" i="6"/>
  <c r="Q28" i="6"/>
  <c r="R28" i="6"/>
  <c r="S28" i="6"/>
  <c r="T28" i="6"/>
  <c r="U28" i="6"/>
  <c r="V28" i="6"/>
  <c r="W28" i="6"/>
  <c r="X28" i="6"/>
  <c r="Y28" i="6"/>
  <c r="Z28" i="6"/>
  <c r="AA28" i="6"/>
  <c r="P28" i="6"/>
  <c r="D28" i="6"/>
  <c r="E28" i="6"/>
  <c r="F28" i="6"/>
  <c r="G28" i="6"/>
  <c r="H28" i="6"/>
  <c r="I28" i="6"/>
  <c r="J28" i="6"/>
  <c r="K28" i="6"/>
  <c r="L28" i="6"/>
  <c r="M28" i="6"/>
  <c r="N28" i="6"/>
  <c r="O28" i="6"/>
  <c r="C28" i="6"/>
  <c r="C34" i="10" l="1"/>
  <c r="BL24" i="6"/>
  <c r="C9" i="8" s="1"/>
  <c r="B10" i="8" s="1"/>
  <c r="C36" i="5"/>
  <c r="D41" i="5" l="1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C66" i="5"/>
  <c r="C65" i="5"/>
  <c r="C64" i="5"/>
  <c r="C63" i="5"/>
  <c r="C62" i="5"/>
  <c r="C61" i="5"/>
  <c r="C60" i="5"/>
  <c r="C59" i="5"/>
  <c r="C58" i="5"/>
  <c r="C57" i="5"/>
  <c r="C56" i="5"/>
  <c r="C55" i="5"/>
  <c r="C41" i="5"/>
  <c r="A63" i="5"/>
  <c r="A62" i="5"/>
  <c r="A61" i="5"/>
  <c r="A60" i="5"/>
  <c r="A59" i="5"/>
  <c r="A58" i="5"/>
  <c r="A57" i="5"/>
  <c r="A56" i="5"/>
  <c r="A55" i="5"/>
  <c r="A54" i="5"/>
  <c r="BI67" i="5" l="1"/>
  <c r="AK67" i="5"/>
  <c r="AC67" i="5"/>
  <c r="E67" i="5"/>
  <c r="BG67" i="5"/>
  <c r="AY67" i="5"/>
  <c r="AQ67" i="5"/>
  <c r="AI67" i="5"/>
  <c r="AA67" i="5"/>
  <c r="S67" i="5"/>
  <c r="K67" i="5"/>
  <c r="BA67" i="5"/>
  <c r="AS67" i="5"/>
  <c r="U67" i="5"/>
  <c r="M67" i="5"/>
  <c r="BJ67" i="5"/>
  <c r="BB67" i="5"/>
  <c r="AT67" i="5"/>
  <c r="AL67" i="5"/>
  <c r="AD67" i="5"/>
  <c r="V67" i="5"/>
  <c r="N67" i="5"/>
  <c r="F67" i="5"/>
  <c r="BE67" i="5"/>
  <c r="AW67" i="5"/>
  <c r="AO67" i="5"/>
  <c r="AG67" i="5"/>
  <c r="Y67" i="5"/>
  <c r="Q67" i="5"/>
  <c r="I67" i="5"/>
  <c r="BH67" i="5"/>
  <c r="AZ67" i="5"/>
  <c r="AR67" i="5"/>
  <c r="AJ67" i="5"/>
  <c r="AB67" i="5"/>
  <c r="T67" i="5"/>
  <c r="L67" i="5"/>
  <c r="D67" i="5"/>
  <c r="BF67" i="5"/>
  <c r="AX67" i="5"/>
  <c r="AP67" i="5"/>
  <c r="AH67" i="5"/>
  <c r="Z67" i="5"/>
  <c r="R67" i="5"/>
  <c r="J67" i="5"/>
  <c r="AF67" i="5"/>
  <c r="P67" i="5"/>
  <c r="AU67" i="5"/>
  <c r="AE67" i="5"/>
  <c r="O67" i="5"/>
  <c r="G67" i="5"/>
  <c r="BD67" i="5"/>
  <c r="AN67" i="5"/>
  <c r="X67" i="5"/>
  <c r="BC67" i="5"/>
  <c r="AM67" i="5"/>
  <c r="W67" i="5"/>
  <c r="AV67" i="5"/>
  <c r="H67" i="5"/>
  <c r="C60" i="4"/>
  <c r="D60" i="4" l="1"/>
  <c r="C18" i="4"/>
  <c r="C27" i="4" s="1"/>
  <c r="C41" i="4" s="1"/>
  <c r="D18" i="4"/>
  <c r="D27" i="4" s="1"/>
  <c r="D41" i="4" s="1"/>
  <c r="E18" i="4"/>
  <c r="E27" i="4" s="1"/>
  <c r="E41" i="4" s="1"/>
  <c r="F18" i="4"/>
  <c r="F27" i="4" s="1"/>
  <c r="F41" i="4" s="1"/>
  <c r="G18" i="4"/>
  <c r="G27" i="4" s="1"/>
  <c r="G41" i="4" s="1"/>
  <c r="H18" i="4"/>
  <c r="H27" i="4" s="1"/>
  <c r="H41" i="4" s="1"/>
  <c r="I18" i="4"/>
  <c r="I27" i="4" s="1"/>
  <c r="I41" i="4" s="1"/>
  <c r="J18" i="4"/>
  <c r="J27" i="4" s="1"/>
  <c r="J41" i="4" s="1"/>
  <c r="K18" i="4"/>
  <c r="K27" i="4" s="1"/>
  <c r="K41" i="4" s="1"/>
  <c r="L18" i="4"/>
  <c r="L27" i="4" s="1"/>
  <c r="L41" i="4" s="1"/>
  <c r="M18" i="4"/>
  <c r="M27" i="4" s="1"/>
  <c r="M41" i="4" s="1"/>
  <c r="N18" i="4"/>
  <c r="N27" i="4" s="1"/>
  <c r="N41" i="4" s="1"/>
  <c r="O18" i="4"/>
  <c r="O27" i="4" s="1"/>
  <c r="O41" i="4" s="1"/>
  <c r="P18" i="4"/>
  <c r="P27" i="4" s="1"/>
  <c r="P41" i="4" s="1"/>
  <c r="Q18" i="4"/>
  <c r="Q27" i="4" s="1"/>
  <c r="Q41" i="4" s="1"/>
  <c r="R18" i="4"/>
  <c r="R27" i="4" s="1"/>
  <c r="R41" i="4" s="1"/>
  <c r="S18" i="4"/>
  <c r="S27" i="4" s="1"/>
  <c r="S41" i="4" s="1"/>
  <c r="T18" i="4"/>
  <c r="T27" i="4" s="1"/>
  <c r="T41" i="4" s="1"/>
  <c r="U18" i="4"/>
  <c r="U27" i="4" s="1"/>
  <c r="U41" i="4" s="1"/>
  <c r="V18" i="4"/>
  <c r="V27" i="4" s="1"/>
  <c r="V41" i="4" s="1"/>
  <c r="W18" i="4"/>
  <c r="W27" i="4" s="1"/>
  <c r="W41" i="4" s="1"/>
  <c r="X18" i="4"/>
  <c r="X27" i="4" s="1"/>
  <c r="X41" i="4" s="1"/>
  <c r="Y18" i="4"/>
  <c r="Y27" i="4" s="1"/>
  <c r="Y41" i="4" s="1"/>
  <c r="Z18" i="4"/>
  <c r="Z27" i="4" s="1"/>
  <c r="Z41" i="4" s="1"/>
  <c r="AA18" i="4"/>
  <c r="AA27" i="4" s="1"/>
  <c r="AA41" i="4" s="1"/>
  <c r="AB18" i="4"/>
  <c r="AB27" i="4" s="1"/>
  <c r="AB41" i="4" s="1"/>
  <c r="AC18" i="4"/>
  <c r="AC27" i="4" s="1"/>
  <c r="AC41" i="4" s="1"/>
  <c r="AD18" i="4"/>
  <c r="AD27" i="4" s="1"/>
  <c r="AD41" i="4" s="1"/>
  <c r="AE18" i="4"/>
  <c r="AE27" i="4" s="1"/>
  <c r="AE41" i="4" s="1"/>
  <c r="AF18" i="4"/>
  <c r="AF27" i="4" s="1"/>
  <c r="AF41" i="4" s="1"/>
  <c r="AG18" i="4"/>
  <c r="AG27" i="4" s="1"/>
  <c r="AG41" i="4" s="1"/>
  <c r="AH18" i="4"/>
  <c r="AH27" i="4" s="1"/>
  <c r="AH41" i="4" s="1"/>
  <c r="AI18" i="4"/>
  <c r="AI27" i="4" s="1"/>
  <c r="AI41" i="4" s="1"/>
  <c r="AJ18" i="4"/>
  <c r="AJ27" i="4" s="1"/>
  <c r="AJ41" i="4" s="1"/>
  <c r="AK18" i="4"/>
  <c r="AK27" i="4" s="1"/>
  <c r="AK41" i="4" s="1"/>
  <c r="AL18" i="4"/>
  <c r="AL27" i="4" s="1"/>
  <c r="AL41" i="4" s="1"/>
  <c r="AM18" i="4"/>
  <c r="AM27" i="4" s="1"/>
  <c r="AM41" i="4" s="1"/>
  <c r="AN18" i="4"/>
  <c r="AN27" i="4" s="1"/>
  <c r="AN41" i="4" s="1"/>
  <c r="AO18" i="4"/>
  <c r="AO27" i="4" s="1"/>
  <c r="AO41" i="4" s="1"/>
  <c r="AP18" i="4"/>
  <c r="AP27" i="4" s="1"/>
  <c r="AP41" i="4" s="1"/>
  <c r="AQ18" i="4"/>
  <c r="AQ27" i="4" s="1"/>
  <c r="AQ41" i="4" s="1"/>
  <c r="AR18" i="4"/>
  <c r="AR27" i="4" s="1"/>
  <c r="AR41" i="4" s="1"/>
  <c r="AS18" i="4"/>
  <c r="AS27" i="4" s="1"/>
  <c r="AS41" i="4" s="1"/>
  <c r="AT18" i="4"/>
  <c r="AT27" i="4" s="1"/>
  <c r="AT41" i="4" s="1"/>
  <c r="AU18" i="4"/>
  <c r="AU27" i="4" s="1"/>
  <c r="AU41" i="4" s="1"/>
  <c r="AV18" i="4"/>
  <c r="AV27" i="4" s="1"/>
  <c r="AV41" i="4" s="1"/>
  <c r="AW18" i="4"/>
  <c r="AW27" i="4" s="1"/>
  <c r="AW41" i="4" s="1"/>
  <c r="AX18" i="4"/>
  <c r="AX27" i="4" s="1"/>
  <c r="AX41" i="4" s="1"/>
  <c r="AY18" i="4"/>
  <c r="AY27" i="4" s="1"/>
  <c r="AY41" i="4" s="1"/>
  <c r="AZ18" i="4"/>
  <c r="AZ27" i="4" s="1"/>
  <c r="AZ41" i="4" s="1"/>
  <c r="BA18" i="4"/>
  <c r="BA27" i="4" s="1"/>
  <c r="BA41" i="4" s="1"/>
  <c r="BB18" i="4"/>
  <c r="BB27" i="4" s="1"/>
  <c r="BB41" i="4" s="1"/>
  <c r="BC18" i="4"/>
  <c r="BC27" i="4" s="1"/>
  <c r="BC41" i="4" s="1"/>
  <c r="BD18" i="4"/>
  <c r="BD27" i="4" s="1"/>
  <c r="BD41" i="4" s="1"/>
  <c r="BE18" i="4"/>
  <c r="BE27" i="4" s="1"/>
  <c r="BE41" i="4" s="1"/>
  <c r="BF18" i="4"/>
  <c r="BF27" i="4" s="1"/>
  <c r="BF41" i="4" s="1"/>
  <c r="BG18" i="4"/>
  <c r="BG27" i="4" s="1"/>
  <c r="BG41" i="4" s="1"/>
  <c r="BH18" i="4"/>
  <c r="BH27" i="4" s="1"/>
  <c r="BH41" i="4" s="1"/>
  <c r="BI18" i="4"/>
  <c r="BI27" i="4" s="1"/>
  <c r="BI41" i="4" s="1"/>
  <c r="B18" i="4"/>
  <c r="B27" i="4" s="1"/>
  <c r="B41" i="4" s="1"/>
  <c r="C29" i="2"/>
  <c r="C61" i="2" s="1"/>
  <c r="D29" i="2"/>
  <c r="D61" i="2" s="1"/>
  <c r="E29" i="2"/>
  <c r="E61" i="2" s="1"/>
  <c r="F29" i="2"/>
  <c r="F61" i="2" s="1"/>
  <c r="G29" i="2"/>
  <c r="G61" i="2" s="1"/>
  <c r="H29" i="2"/>
  <c r="H61" i="2" s="1"/>
  <c r="I29" i="2"/>
  <c r="I61" i="2" s="1"/>
  <c r="J29" i="2"/>
  <c r="J61" i="2" s="1"/>
  <c r="K29" i="2"/>
  <c r="K61" i="2" s="1"/>
  <c r="L29" i="2"/>
  <c r="L61" i="2" s="1"/>
  <c r="M29" i="2"/>
  <c r="M61" i="2" s="1"/>
  <c r="N29" i="2"/>
  <c r="N61" i="2" s="1"/>
  <c r="O29" i="2"/>
  <c r="O61" i="2" s="1"/>
  <c r="P29" i="2"/>
  <c r="P61" i="2" s="1"/>
  <c r="Q29" i="2"/>
  <c r="Q61" i="2" s="1"/>
  <c r="R29" i="2"/>
  <c r="R61" i="2" s="1"/>
  <c r="S29" i="2"/>
  <c r="S61" i="2" s="1"/>
  <c r="T29" i="2"/>
  <c r="T61" i="2" s="1"/>
  <c r="U29" i="2"/>
  <c r="U61" i="2" s="1"/>
  <c r="V29" i="2"/>
  <c r="V61" i="2" s="1"/>
  <c r="W29" i="2"/>
  <c r="W61" i="2" s="1"/>
  <c r="X29" i="2"/>
  <c r="X61" i="2" s="1"/>
  <c r="Y29" i="2"/>
  <c r="Y61" i="2" s="1"/>
  <c r="Z29" i="2"/>
  <c r="Z61" i="2" s="1"/>
  <c r="AA29" i="2"/>
  <c r="AA61" i="2" s="1"/>
  <c r="AB29" i="2"/>
  <c r="AB61" i="2" s="1"/>
  <c r="AC29" i="2"/>
  <c r="AC61" i="2" s="1"/>
  <c r="AD29" i="2"/>
  <c r="AD61" i="2" s="1"/>
  <c r="AE29" i="2"/>
  <c r="AE61" i="2" s="1"/>
  <c r="AF29" i="2"/>
  <c r="AF61" i="2" s="1"/>
  <c r="AG29" i="2"/>
  <c r="AG61" i="2" s="1"/>
  <c r="AH29" i="2"/>
  <c r="AH61" i="2" s="1"/>
  <c r="AI29" i="2"/>
  <c r="AI61" i="2" s="1"/>
  <c r="AJ29" i="2"/>
  <c r="AJ61" i="2" s="1"/>
  <c r="AK29" i="2"/>
  <c r="AK61" i="2" s="1"/>
  <c r="AL29" i="2"/>
  <c r="AL61" i="2" s="1"/>
  <c r="AM29" i="2"/>
  <c r="AM61" i="2" s="1"/>
  <c r="AN29" i="2"/>
  <c r="AN61" i="2" s="1"/>
  <c r="AO29" i="2"/>
  <c r="AO61" i="2" s="1"/>
  <c r="AP29" i="2"/>
  <c r="AP61" i="2" s="1"/>
  <c r="AQ29" i="2"/>
  <c r="AQ61" i="2" s="1"/>
  <c r="AR29" i="2"/>
  <c r="AR61" i="2" s="1"/>
  <c r="AS29" i="2"/>
  <c r="AS61" i="2" s="1"/>
  <c r="AT29" i="2"/>
  <c r="AT61" i="2" s="1"/>
  <c r="AU29" i="2"/>
  <c r="AU61" i="2" s="1"/>
  <c r="AV29" i="2"/>
  <c r="AV61" i="2" s="1"/>
  <c r="AW29" i="2"/>
  <c r="AW61" i="2" s="1"/>
  <c r="AX29" i="2"/>
  <c r="AX61" i="2" s="1"/>
  <c r="AY29" i="2"/>
  <c r="AY61" i="2" s="1"/>
  <c r="AZ29" i="2"/>
  <c r="AZ61" i="2" s="1"/>
  <c r="BA29" i="2"/>
  <c r="BA61" i="2" s="1"/>
  <c r="BB29" i="2"/>
  <c r="BB61" i="2" s="1"/>
  <c r="BC29" i="2"/>
  <c r="BC61" i="2" s="1"/>
  <c r="BD29" i="2"/>
  <c r="BD61" i="2" s="1"/>
  <c r="BE29" i="2"/>
  <c r="BE61" i="2" s="1"/>
  <c r="BF29" i="2"/>
  <c r="BF61" i="2" s="1"/>
  <c r="BG29" i="2"/>
  <c r="BG61" i="2" s="1"/>
  <c r="BH29" i="2"/>
  <c r="BH61" i="2" s="1"/>
  <c r="BI29" i="2"/>
  <c r="BI61" i="2" s="1"/>
  <c r="B29" i="2"/>
  <c r="B61" i="2" s="1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14" i="3"/>
  <c r="E60" i="4" l="1"/>
  <c r="F60" i="4" l="1"/>
  <c r="G60" i="4" l="1"/>
  <c r="H60" i="4" l="1"/>
  <c r="I60" i="4" l="1"/>
  <c r="J60" i="4" l="1"/>
  <c r="K60" i="4" l="1"/>
  <c r="L60" i="4" l="1"/>
  <c r="M60" i="4" l="1"/>
  <c r="N60" i="4" l="1"/>
  <c r="O60" i="4" l="1"/>
  <c r="P60" i="4" l="1"/>
  <c r="Q60" i="4" l="1"/>
  <c r="R60" i="4" l="1"/>
  <c r="B47" i="2"/>
  <c r="S60" i="4" l="1"/>
  <c r="C48" i="2"/>
  <c r="D48" i="2"/>
  <c r="T60" i="4" l="1"/>
  <c r="E48" i="2"/>
  <c r="U60" i="4" l="1"/>
  <c r="F48" i="2"/>
  <c r="V60" i="4" l="1"/>
  <c r="G48" i="2"/>
  <c r="W60" i="4" l="1"/>
  <c r="H48" i="2"/>
  <c r="X60" i="4" l="1"/>
  <c r="I48" i="2"/>
  <c r="Y60" i="4" l="1"/>
  <c r="J48" i="2"/>
  <c r="Z60" i="4" l="1"/>
  <c r="K48" i="2"/>
  <c r="AA60" i="4" l="1"/>
  <c r="L48" i="2"/>
  <c r="AB60" i="4" l="1"/>
  <c r="M48" i="2"/>
  <c r="AC60" i="4" l="1"/>
  <c r="N48" i="2"/>
  <c r="AD60" i="4" l="1"/>
  <c r="O48" i="2"/>
  <c r="AE60" i="4" l="1"/>
  <c r="P48" i="2"/>
  <c r="AF60" i="4" l="1"/>
  <c r="Q48" i="2"/>
  <c r="AG60" i="4" l="1"/>
  <c r="R48" i="2"/>
  <c r="AH60" i="4" l="1"/>
  <c r="S48" i="2"/>
  <c r="AI60" i="4" l="1"/>
  <c r="T48" i="2"/>
  <c r="AJ60" i="4" l="1"/>
  <c r="U48" i="2"/>
  <c r="AK60" i="4" l="1"/>
  <c r="V48" i="2"/>
  <c r="AL60" i="4" l="1"/>
  <c r="W48" i="2"/>
  <c r="AM60" i="4" l="1"/>
  <c r="X48" i="2"/>
  <c r="AN60" i="4" l="1"/>
  <c r="Y48" i="2"/>
  <c r="AO60" i="4" l="1"/>
  <c r="Z48" i="2"/>
  <c r="AP60" i="4" l="1"/>
  <c r="AA48" i="2"/>
  <c r="AQ60" i="4" l="1"/>
  <c r="AB48" i="2"/>
  <c r="AR60" i="4" l="1"/>
  <c r="AC48" i="2"/>
  <c r="AS60" i="4" l="1"/>
  <c r="AD48" i="2"/>
  <c r="AT60" i="4" l="1"/>
  <c r="AE48" i="2"/>
  <c r="AU60" i="4" l="1"/>
  <c r="AF48" i="2"/>
  <c r="AV60" i="4" l="1"/>
  <c r="AG48" i="2"/>
  <c r="AW60" i="4" l="1"/>
  <c r="AH48" i="2"/>
  <c r="AX60" i="4" l="1"/>
  <c r="AI48" i="2"/>
  <c r="AY60" i="4" l="1"/>
  <c r="AJ48" i="2"/>
  <c r="AZ60" i="4" l="1"/>
  <c r="AK48" i="2"/>
  <c r="BA60" i="4" l="1"/>
  <c r="AL48" i="2"/>
  <c r="BB60" i="4" l="1"/>
  <c r="AM48" i="2"/>
  <c r="BC60" i="4" l="1"/>
  <c r="AN48" i="2"/>
  <c r="BL32" i="6" l="1"/>
  <c r="BD60" i="4"/>
  <c r="AO48" i="2"/>
  <c r="BL33" i="6" l="1"/>
  <c r="BE60" i="4"/>
  <c r="AP48" i="2"/>
  <c r="BL34" i="6" l="1"/>
  <c r="BF60" i="4"/>
  <c r="AQ48" i="2"/>
  <c r="BL35" i="6" l="1"/>
  <c r="BG60" i="4"/>
  <c r="AR48" i="2"/>
  <c r="BL36" i="6" l="1"/>
  <c r="BH60" i="4"/>
  <c r="BI60" i="4"/>
  <c r="AS48" i="2"/>
  <c r="BL37" i="6" l="1"/>
  <c r="AT48" i="2"/>
  <c r="BL38" i="6" l="1"/>
  <c r="AU48" i="2"/>
  <c r="BL39" i="6" l="1"/>
  <c r="AV48" i="2"/>
  <c r="BL40" i="6" l="1"/>
  <c r="AW48" i="2"/>
  <c r="BL41" i="6" l="1"/>
  <c r="AX48" i="2"/>
  <c r="BL42" i="6" l="1"/>
  <c r="AY48" i="2"/>
  <c r="BL43" i="6" l="1"/>
  <c r="AZ48" i="2"/>
  <c r="BL44" i="6" l="1"/>
  <c r="BA48" i="2"/>
  <c r="BL46" i="6" l="1"/>
  <c r="BL45" i="6"/>
  <c r="BB48" i="2"/>
  <c r="BL47" i="6" l="1"/>
  <c r="BM45" i="6" s="1"/>
  <c r="BM46" i="6"/>
  <c r="BM33" i="6"/>
  <c r="BM34" i="6"/>
  <c r="BM35" i="6"/>
  <c r="BM36" i="6"/>
  <c r="BM37" i="6"/>
  <c r="BM38" i="6"/>
  <c r="BM39" i="6"/>
  <c r="BM40" i="6"/>
  <c r="BM41" i="6"/>
  <c r="BM42" i="6"/>
  <c r="BM43" i="6"/>
  <c r="BM44" i="6"/>
  <c r="BC48" i="2"/>
  <c r="BO47" i="6" l="1"/>
  <c r="BD48" i="2"/>
  <c r="BE48" i="2" l="1"/>
  <c r="BF48" i="2" l="1"/>
  <c r="BG48" i="2" l="1"/>
  <c r="BI48" i="2" l="1"/>
  <c r="BH48" i="2"/>
  <c r="C32" i="10" l="1"/>
  <c r="C34" i="7" l="1"/>
  <c r="C33" i="7"/>
  <c r="C11" i="7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67" i="5" l="1"/>
  <c r="E36" i="5"/>
  <c r="E42" i="7" s="1"/>
  <c r="E44" i="7" s="1"/>
  <c r="C91" i="6"/>
  <c r="D53" i="6" s="1"/>
  <c r="C90" i="6"/>
  <c r="D52" i="6" s="1"/>
  <c r="C89" i="6"/>
  <c r="D51" i="6" s="1"/>
  <c r="D89" i="6" s="1"/>
  <c r="E51" i="6" s="1"/>
  <c r="E89" i="6" s="1"/>
  <c r="F51" i="6" s="1"/>
  <c r="D24" i="6" l="1"/>
  <c r="C92" i="6"/>
  <c r="D54" i="6" s="1"/>
  <c r="D92" i="6" s="1"/>
  <c r="E54" i="6" s="1"/>
  <c r="E92" i="6" s="1"/>
  <c r="F54" i="6" s="1"/>
  <c r="F92" i="6" s="1"/>
  <c r="G54" i="6" s="1"/>
  <c r="D90" i="6"/>
  <c r="E52" i="6" s="1"/>
  <c r="E90" i="6" s="1"/>
  <c r="F52" i="6" s="1"/>
  <c r="F90" i="6" s="1"/>
  <c r="G52" i="6" s="1"/>
  <c r="D91" i="6"/>
  <c r="E53" i="6" s="1"/>
  <c r="F89" i="6"/>
  <c r="G51" i="6" s="1"/>
  <c r="C65" i="1"/>
  <c r="O13" i="7" s="1"/>
  <c r="D13" i="10" s="1"/>
  <c r="B65" i="1"/>
  <c r="C13" i="7" s="1"/>
  <c r="C13" i="10" s="1"/>
  <c r="C9" i="10"/>
  <c r="C11" i="10" s="1"/>
  <c r="C15" i="10" l="1"/>
  <c r="C17" i="10" s="1"/>
  <c r="C19" i="10" s="1"/>
  <c r="C35" i="7"/>
  <c r="C36" i="7" s="1"/>
  <c r="C15" i="7"/>
  <c r="E65" i="1"/>
  <c r="AM13" i="7" s="1"/>
  <c r="F13" i="10" s="1"/>
  <c r="E24" i="6"/>
  <c r="D36" i="5"/>
  <c r="C93" i="6"/>
  <c r="D55" i="6" s="1"/>
  <c r="G92" i="6"/>
  <c r="H54" i="6" s="1"/>
  <c r="G90" i="6"/>
  <c r="H52" i="6" s="1"/>
  <c r="G89" i="6"/>
  <c r="H51" i="6" s="1"/>
  <c r="D42" i="7" l="1"/>
  <c r="D44" i="7" s="1"/>
  <c r="C31" i="10"/>
  <c r="D65" i="1"/>
  <c r="AA13" i="7" s="1"/>
  <c r="E13" i="10" s="1"/>
  <c r="F24" i="6"/>
  <c r="H92" i="6"/>
  <c r="I54" i="6" s="1"/>
  <c r="I92" i="6" s="1"/>
  <c r="J54" i="6" s="1"/>
  <c r="D93" i="6"/>
  <c r="C94" i="6"/>
  <c r="D56" i="6" s="1"/>
  <c r="H90" i="6"/>
  <c r="I52" i="6" s="1"/>
  <c r="H89" i="6"/>
  <c r="I51" i="6" s="1"/>
  <c r="G65" i="1"/>
  <c r="BK13" i="7" s="1"/>
  <c r="H13" i="10" s="1"/>
  <c r="F65" i="1"/>
  <c r="AY13" i="7" s="1"/>
  <c r="G13" i="10" s="1"/>
  <c r="G24" i="6" l="1"/>
  <c r="D94" i="6"/>
  <c r="E56" i="6" s="1"/>
  <c r="C95" i="6"/>
  <c r="D57" i="6" s="1"/>
  <c r="D95" i="6" s="1"/>
  <c r="E57" i="6" s="1"/>
  <c r="E95" i="6" s="1"/>
  <c r="F57" i="6" s="1"/>
  <c r="F95" i="6" s="1"/>
  <c r="G57" i="6" s="1"/>
  <c r="E55" i="6"/>
  <c r="I90" i="6"/>
  <c r="J52" i="6" s="1"/>
  <c r="I89" i="6"/>
  <c r="J51" i="6" s="1"/>
  <c r="J89" i="6" s="1"/>
  <c r="K51" i="6" s="1"/>
  <c r="H24" i="6" l="1"/>
  <c r="J90" i="6"/>
  <c r="K52" i="6" s="1"/>
  <c r="J92" i="6"/>
  <c r="K54" i="6" s="1"/>
  <c r="K92" i="6" s="1"/>
  <c r="L54" i="6" s="1"/>
  <c r="E93" i="6"/>
  <c r="F55" i="6" s="1"/>
  <c r="G95" i="6"/>
  <c r="H57" i="6" s="1"/>
  <c r="E94" i="6"/>
  <c r="F56" i="6" s="1"/>
  <c r="F94" i="6" s="1"/>
  <c r="G56" i="6" s="1"/>
  <c r="C96" i="6"/>
  <c r="D58" i="6" s="1"/>
  <c r="D96" i="6" s="1"/>
  <c r="K89" i="6"/>
  <c r="L51" i="6" s="1"/>
  <c r="L89" i="6" s="1"/>
  <c r="M51" i="6" s="1"/>
  <c r="C42" i="7"/>
  <c r="D1" i="7"/>
  <c r="C44" i="7" l="1"/>
  <c r="I24" i="6"/>
  <c r="K90" i="6"/>
  <c r="L52" i="6" s="1"/>
  <c r="G94" i="6"/>
  <c r="H56" i="6" s="1"/>
  <c r="H94" i="6" s="1"/>
  <c r="I56" i="6" s="1"/>
  <c r="H95" i="6"/>
  <c r="I57" i="6" s="1"/>
  <c r="I95" i="6" s="1"/>
  <c r="J57" i="6" s="1"/>
  <c r="C97" i="6"/>
  <c r="D59" i="6" s="1"/>
  <c r="E58" i="6"/>
  <c r="F93" i="6"/>
  <c r="G55" i="6" s="1"/>
  <c r="G93" i="6" s="1"/>
  <c r="H55" i="6" s="1"/>
  <c r="H93" i="6" s="1"/>
  <c r="I55" i="6" s="1"/>
  <c r="M89" i="6"/>
  <c r="N51" i="6" s="1"/>
  <c r="D77" i="6"/>
  <c r="D76" i="6"/>
  <c r="D75" i="6"/>
  <c r="D74" i="6"/>
  <c r="D73" i="6"/>
  <c r="D72" i="6"/>
  <c r="D71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89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70" i="6"/>
  <c r="A10" i="6"/>
  <c r="A11" i="6"/>
  <c r="A12" i="6"/>
  <c r="A13" i="6"/>
  <c r="A54" i="6"/>
  <c r="A55" i="6"/>
  <c r="A56" i="6"/>
  <c r="A57" i="6"/>
  <c r="A58" i="6"/>
  <c r="A59" i="6"/>
  <c r="A60" i="6"/>
  <c r="A61" i="6"/>
  <c r="A62" i="6"/>
  <c r="A63" i="6"/>
  <c r="A64" i="6"/>
  <c r="A65" i="6"/>
  <c r="A52" i="6"/>
  <c r="A53" i="6"/>
  <c r="A51" i="6"/>
  <c r="C66" i="6"/>
  <c r="C51" i="7" s="1"/>
  <c r="C85" i="6"/>
  <c r="L47" i="6"/>
  <c r="L47" i="7" s="1"/>
  <c r="K47" i="6"/>
  <c r="K47" i="7" s="1"/>
  <c r="J47" i="6"/>
  <c r="J47" i="7" s="1"/>
  <c r="I47" i="6"/>
  <c r="I47" i="7" s="1"/>
  <c r="H47" i="6"/>
  <c r="H47" i="7" s="1"/>
  <c r="G47" i="6"/>
  <c r="G47" i="7" s="1"/>
  <c r="F47" i="6"/>
  <c r="F47" i="7" s="1"/>
  <c r="E47" i="6"/>
  <c r="E47" i="7" s="1"/>
  <c r="D47" i="6"/>
  <c r="D47" i="7" s="1"/>
  <c r="C24" i="6"/>
  <c r="A9" i="6"/>
  <c r="I48" i="7"/>
  <c r="H48" i="7"/>
  <c r="G48" i="7"/>
  <c r="F48" i="7"/>
  <c r="E48" i="7"/>
  <c r="D48" i="7"/>
  <c r="B1" i="6"/>
  <c r="A42" i="5"/>
  <c r="A43" i="5"/>
  <c r="A44" i="5"/>
  <c r="A45" i="5"/>
  <c r="A46" i="5"/>
  <c r="A47" i="5"/>
  <c r="A48" i="5"/>
  <c r="A49" i="5"/>
  <c r="A50" i="5"/>
  <c r="A51" i="5"/>
  <c r="A52" i="5"/>
  <c r="A53" i="5"/>
  <c r="A41" i="5"/>
  <c r="BK36" i="5"/>
  <c r="BK42" i="7" s="1"/>
  <c r="BK44" i="7" s="1"/>
  <c r="BJ36" i="5"/>
  <c r="BJ42" i="7" s="1"/>
  <c r="BJ44" i="7" s="1"/>
  <c r="BI36" i="5"/>
  <c r="BI42" i="7" s="1"/>
  <c r="BI44" i="7" s="1"/>
  <c r="BH36" i="5"/>
  <c r="BH42" i="7" s="1"/>
  <c r="BH44" i="7" s="1"/>
  <c r="BG36" i="5"/>
  <c r="BG42" i="7" s="1"/>
  <c r="BG44" i="7" s="1"/>
  <c r="BF36" i="5"/>
  <c r="BF42" i="7" s="1"/>
  <c r="BF44" i="7" s="1"/>
  <c r="BE36" i="5"/>
  <c r="BE42" i="7" s="1"/>
  <c r="BE44" i="7" s="1"/>
  <c r="BD36" i="5"/>
  <c r="BD42" i="7" s="1"/>
  <c r="BD44" i="7" s="1"/>
  <c r="BC36" i="5"/>
  <c r="BC42" i="7" s="1"/>
  <c r="BC44" i="7" s="1"/>
  <c r="BB36" i="5"/>
  <c r="BB42" i="7" s="1"/>
  <c r="BB44" i="7" s="1"/>
  <c r="BA36" i="5"/>
  <c r="BA42" i="7" s="1"/>
  <c r="BA44" i="7" s="1"/>
  <c r="AZ36" i="5"/>
  <c r="AZ42" i="7" s="1"/>
  <c r="AZ44" i="7" s="1"/>
  <c r="AY36" i="5"/>
  <c r="AY42" i="7" s="1"/>
  <c r="AY44" i="7" s="1"/>
  <c r="AX36" i="5"/>
  <c r="AX42" i="7" s="1"/>
  <c r="AX44" i="7" s="1"/>
  <c r="AW36" i="5"/>
  <c r="AW42" i="7" s="1"/>
  <c r="AW44" i="7" s="1"/>
  <c r="AV36" i="5"/>
  <c r="AV42" i="7" s="1"/>
  <c r="AV44" i="7" s="1"/>
  <c r="AU36" i="5"/>
  <c r="AU42" i="7" s="1"/>
  <c r="AU44" i="7" s="1"/>
  <c r="AT36" i="5"/>
  <c r="AT42" i="7" s="1"/>
  <c r="AT44" i="7" s="1"/>
  <c r="AS36" i="5"/>
  <c r="AS42" i="7" s="1"/>
  <c r="AS44" i="7" s="1"/>
  <c r="AR36" i="5"/>
  <c r="AR42" i="7" s="1"/>
  <c r="AR44" i="7" s="1"/>
  <c r="AQ36" i="5"/>
  <c r="AQ42" i="7" s="1"/>
  <c r="AQ44" i="7" s="1"/>
  <c r="AP36" i="5"/>
  <c r="AP42" i="7" s="1"/>
  <c r="AP44" i="7" s="1"/>
  <c r="AO36" i="5"/>
  <c r="AO42" i="7" s="1"/>
  <c r="AO44" i="7" s="1"/>
  <c r="AN36" i="5"/>
  <c r="AN42" i="7" s="1"/>
  <c r="AN44" i="7" s="1"/>
  <c r="AM36" i="5"/>
  <c r="AM42" i="7" s="1"/>
  <c r="AM44" i="7" s="1"/>
  <c r="AL36" i="5"/>
  <c r="AL42" i="7" s="1"/>
  <c r="AL44" i="7" s="1"/>
  <c r="AK36" i="5"/>
  <c r="AK42" i="7" s="1"/>
  <c r="AK44" i="7" s="1"/>
  <c r="AJ36" i="5"/>
  <c r="AJ42" i="7" s="1"/>
  <c r="AJ44" i="7" s="1"/>
  <c r="AI36" i="5"/>
  <c r="AI42" i="7" s="1"/>
  <c r="AI44" i="7" s="1"/>
  <c r="AH36" i="5"/>
  <c r="AH42" i="7" s="1"/>
  <c r="AH44" i="7" s="1"/>
  <c r="AG36" i="5"/>
  <c r="AG42" i="7" s="1"/>
  <c r="AG44" i="7" s="1"/>
  <c r="AF36" i="5"/>
  <c r="AF42" i="7" s="1"/>
  <c r="AF44" i="7" s="1"/>
  <c r="AE36" i="5"/>
  <c r="AE42" i="7" s="1"/>
  <c r="AE44" i="7" s="1"/>
  <c r="AD36" i="5"/>
  <c r="AD42" i="7" s="1"/>
  <c r="AD44" i="7" s="1"/>
  <c r="AC36" i="5"/>
  <c r="AC42" i="7" s="1"/>
  <c r="AC44" i="7" s="1"/>
  <c r="AB36" i="5"/>
  <c r="AB42" i="7" s="1"/>
  <c r="AB44" i="7" s="1"/>
  <c r="AA36" i="5"/>
  <c r="AA42" i="7" s="1"/>
  <c r="AA44" i="7" s="1"/>
  <c r="Z36" i="5"/>
  <c r="Z42" i="7" s="1"/>
  <c r="Z44" i="7" s="1"/>
  <c r="Y36" i="5"/>
  <c r="Y42" i="7" s="1"/>
  <c r="Y44" i="7" s="1"/>
  <c r="X36" i="5"/>
  <c r="X42" i="7" s="1"/>
  <c r="X44" i="7" s="1"/>
  <c r="W36" i="5"/>
  <c r="W42" i="7" s="1"/>
  <c r="W44" i="7" s="1"/>
  <c r="V36" i="5"/>
  <c r="V42" i="7" s="1"/>
  <c r="V44" i="7" s="1"/>
  <c r="U36" i="5"/>
  <c r="U42" i="7" s="1"/>
  <c r="U44" i="7" s="1"/>
  <c r="T36" i="5"/>
  <c r="T42" i="7" s="1"/>
  <c r="T44" i="7" s="1"/>
  <c r="S36" i="5"/>
  <c r="S42" i="7" s="1"/>
  <c r="S44" i="7" s="1"/>
  <c r="R36" i="5"/>
  <c r="R42" i="7" s="1"/>
  <c r="R44" i="7" s="1"/>
  <c r="Q36" i="5"/>
  <c r="Q42" i="7" s="1"/>
  <c r="Q44" i="7" s="1"/>
  <c r="P36" i="5"/>
  <c r="P42" i="7" s="1"/>
  <c r="P44" i="7" s="1"/>
  <c r="O36" i="5"/>
  <c r="O42" i="7" s="1"/>
  <c r="O44" i="7" s="1"/>
  <c r="N36" i="5"/>
  <c r="N42" i="7" s="1"/>
  <c r="N44" i="7" s="1"/>
  <c r="M36" i="5"/>
  <c r="M42" i="7" s="1"/>
  <c r="M44" i="7" s="1"/>
  <c r="L36" i="5"/>
  <c r="L42" i="7" s="1"/>
  <c r="L44" i="7" s="1"/>
  <c r="K36" i="5"/>
  <c r="K42" i="7" s="1"/>
  <c r="K44" i="7" s="1"/>
  <c r="J36" i="5"/>
  <c r="J42" i="7" s="1"/>
  <c r="J44" i="7" s="1"/>
  <c r="I36" i="5"/>
  <c r="I42" i="7" s="1"/>
  <c r="I44" i="7" s="1"/>
  <c r="H36" i="5"/>
  <c r="H42" i="7" s="1"/>
  <c r="H44" i="7" s="1"/>
  <c r="G36" i="5"/>
  <c r="G42" i="7" s="1"/>
  <c r="G44" i="7" s="1"/>
  <c r="F36" i="5"/>
  <c r="C1" i="5"/>
  <c r="B59" i="4"/>
  <c r="C59" i="4"/>
  <c r="C61" i="4" s="1"/>
  <c r="B1" i="4"/>
  <c r="B1" i="3"/>
  <c r="B53" i="2"/>
  <c r="B1" i="2"/>
  <c r="B28" i="1"/>
  <c r="B65" i="4" l="1"/>
  <c r="B61" i="4"/>
  <c r="F42" i="7"/>
  <c r="F44" i="7" s="1"/>
  <c r="B85" i="4"/>
  <c r="B71" i="4"/>
  <c r="C59" i="7"/>
  <c r="B79" i="4"/>
  <c r="C50" i="7"/>
  <c r="C16" i="7"/>
  <c r="C17" i="7" s="1"/>
  <c r="C19" i="7" s="1"/>
  <c r="C30" i="10"/>
  <c r="B2" i="8"/>
  <c r="D30" i="10"/>
  <c r="J24" i="6"/>
  <c r="J48" i="7" s="1"/>
  <c r="L90" i="6"/>
  <c r="M52" i="6" s="1"/>
  <c r="M90" i="6" s="1"/>
  <c r="L92" i="6"/>
  <c r="M54" i="6" s="1"/>
  <c r="D78" i="6"/>
  <c r="D97" i="6"/>
  <c r="E78" i="6" s="1"/>
  <c r="J95" i="6"/>
  <c r="K57" i="6" s="1"/>
  <c r="I93" i="6"/>
  <c r="J55" i="6" s="1"/>
  <c r="C98" i="6"/>
  <c r="I94" i="6"/>
  <c r="J56" i="6" s="1"/>
  <c r="E96" i="6"/>
  <c r="F58" i="6" s="1"/>
  <c r="F96" i="6" s="1"/>
  <c r="G58" i="6" s="1"/>
  <c r="N89" i="6"/>
  <c r="O51" i="6" s="1"/>
  <c r="E91" i="6"/>
  <c r="D26" i="6"/>
  <c r="B57" i="1"/>
  <c r="C57" i="1"/>
  <c r="D57" i="1" s="1"/>
  <c r="E57" i="1" s="1"/>
  <c r="F57" i="1" s="1"/>
  <c r="G57" i="1" s="1"/>
  <c r="D21" i="10"/>
  <c r="D7" i="10"/>
  <c r="C7" i="10"/>
  <c r="C21" i="10"/>
  <c r="B13" i="3"/>
  <c r="B9" i="3"/>
  <c r="B60" i="2"/>
  <c r="D31" i="7"/>
  <c r="D7" i="7"/>
  <c r="D21" i="7"/>
  <c r="D70" i="6"/>
  <c r="B52" i="2"/>
  <c r="C48" i="7"/>
  <c r="B8" i="2"/>
  <c r="B28" i="2"/>
  <c r="B26" i="4"/>
  <c r="C39" i="5"/>
  <c r="D30" i="6"/>
  <c r="D68" i="6"/>
  <c r="D87" i="6"/>
  <c r="C28" i="1"/>
  <c r="B40" i="4"/>
  <c r="D7" i="6"/>
  <c r="B8" i="4"/>
  <c r="D49" i="6"/>
  <c r="B17" i="4"/>
  <c r="D8" i="5"/>
  <c r="G71" i="6"/>
  <c r="K71" i="6"/>
  <c r="H71" i="6"/>
  <c r="L71" i="6"/>
  <c r="E71" i="6"/>
  <c r="I71" i="6"/>
  <c r="F71" i="6"/>
  <c r="J71" i="6"/>
  <c r="F75" i="6"/>
  <c r="G75" i="6"/>
  <c r="H75" i="6"/>
  <c r="E75" i="6"/>
  <c r="I75" i="6"/>
  <c r="E72" i="6"/>
  <c r="F76" i="6"/>
  <c r="J76" i="6"/>
  <c r="G76" i="6"/>
  <c r="H76" i="6"/>
  <c r="E76" i="6"/>
  <c r="I76" i="6"/>
  <c r="G73" i="6"/>
  <c r="K73" i="6"/>
  <c r="H73" i="6"/>
  <c r="L73" i="6"/>
  <c r="E73" i="6"/>
  <c r="I73" i="6"/>
  <c r="J73" i="6"/>
  <c r="F73" i="6"/>
  <c r="E77" i="6"/>
  <c r="G70" i="6"/>
  <c r="K70" i="6"/>
  <c r="H70" i="6"/>
  <c r="L70" i="6"/>
  <c r="E70" i="6"/>
  <c r="I70" i="6"/>
  <c r="M70" i="6"/>
  <c r="F70" i="6"/>
  <c r="J70" i="6"/>
  <c r="N70" i="6"/>
  <c r="G74" i="6"/>
  <c r="H74" i="6"/>
  <c r="I74" i="6"/>
  <c r="E74" i="6"/>
  <c r="F74" i="6"/>
  <c r="C65" i="4"/>
  <c r="C64" i="4"/>
  <c r="C63" i="4"/>
  <c r="C62" i="4"/>
  <c r="C68" i="4"/>
  <c r="C66" i="4"/>
  <c r="C67" i="4" s="1"/>
  <c r="B66" i="4"/>
  <c r="B68" i="4"/>
  <c r="B62" i="4"/>
  <c r="B63" i="4"/>
  <c r="B64" i="4"/>
  <c r="B54" i="2"/>
  <c r="B56" i="2"/>
  <c r="C47" i="2"/>
  <c r="B50" i="2"/>
  <c r="B51" i="2"/>
  <c r="B49" i="2"/>
  <c r="C36" i="10" l="1"/>
  <c r="B81" i="4"/>
  <c r="N71" i="4"/>
  <c r="D59" i="7"/>
  <c r="N79" i="4"/>
  <c r="D28" i="7"/>
  <c r="C83" i="4"/>
  <c r="B83" i="4"/>
  <c r="C86" i="4"/>
  <c r="B86" i="4"/>
  <c r="B67" i="4"/>
  <c r="B69" i="4" s="1"/>
  <c r="B76" i="4" s="1"/>
  <c r="E59" i="4"/>
  <c r="D59" i="4"/>
  <c r="C2" i="8"/>
  <c r="E30" i="10"/>
  <c r="M73" i="6"/>
  <c r="J74" i="6"/>
  <c r="K24" i="6"/>
  <c r="K48" i="7" s="1"/>
  <c r="M71" i="6"/>
  <c r="N52" i="6"/>
  <c r="N71" i="6"/>
  <c r="O70" i="6"/>
  <c r="G77" i="6"/>
  <c r="F77" i="6"/>
  <c r="K76" i="6"/>
  <c r="J75" i="6"/>
  <c r="K95" i="6"/>
  <c r="D60" i="6"/>
  <c r="D79" i="6"/>
  <c r="E59" i="6"/>
  <c r="J93" i="6"/>
  <c r="C99" i="6"/>
  <c r="G96" i="6"/>
  <c r="J94" i="6"/>
  <c r="F72" i="6"/>
  <c r="F53" i="6"/>
  <c r="E21" i="10"/>
  <c r="E7" i="10"/>
  <c r="N9" i="3"/>
  <c r="N60" i="2"/>
  <c r="N13" i="3"/>
  <c r="P31" i="7"/>
  <c r="P7" i="7"/>
  <c r="P21" i="7"/>
  <c r="C49" i="2"/>
  <c r="D47" i="2"/>
  <c r="D53" i="2" s="1"/>
  <c r="B55" i="2"/>
  <c r="B57" i="2" s="1"/>
  <c r="B65" i="2" s="1"/>
  <c r="C51" i="2"/>
  <c r="C56" i="2"/>
  <c r="P49" i="6"/>
  <c r="N8" i="4"/>
  <c r="P7" i="6"/>
  <c r="N40" i="4"/>
  <c r="P87" i="6"/>
  <c r="P68" i="6"/>
  <c r="P30" i="6"/>
  <c r="O39" i="5"/>
  <c r="N26" i="4"/>
  <c r="N28" i="2"/>
  <c r="N8" i="2"/>
  <c r="P26" i="6"/>
  <c r="P8" i="5"/>
  <c r="N17" i="4"/>
  <c r="D28" i="1"/>
  <c r="C69" i="4"/>
  <c r="C76" i="4" s="1"/>
  <c r="F59" i="4"/>
  <c r="F61" i="4" s="1"/>
  <c r="C50" i="2"/>
  <c r="C52" i="2"/>
  <c r="C54" i="2"/>
  <c r="C53" i="2"/>
  <c r="E47" i="2"/>
  <c r="D68" i="4" l="1"/>
  <c r="D61" i="4"/>
  <c r="E64" i="4"/>
  <c r="E61" i="4"/>
  <c r="E68" i="4"/>
  <c r="C81" i="4"/>
  <c r="C85" i="4"/>
  <c r="D85" i="4"/>
  <c r="B82" i="4"/>
  <c r="Z71" i="4"/>
  <c r="E59" i="7"/>
  <c r="Z79" i="4"/>
  <c r="D65" i="4"/>
  <c r="D86" i="4" s="1"/>
  <c r="D62" i="4"/>
  <c r="E63" i="4"/>
  <c r="D66" i="4"/>
  <c r="D64" i="4"/>
  <c r="B84" i="4"/>
  <c r="C84" i="4"/>
  <c r="D63" i="4"/>
  <c r="E65" i="4"/>
  <c r="E62" i="4"/>
  <c r="E66" i="4"/>
  <c r="D2" i="8"/>
  <c r="F30" i="10"/>
  <c r="D51" i="2"/>
  <c r="D52" i="2"/>
  <c r="D56" i="2"/>
  <c r="D54" i="2"/>
  <c r="D49" i="2"/>
  <c r="D50" i="2"/>
  <c r="L24" i="6"/>
  <c r="L48" i="7" s="1"/>
  <c r="N90" i="6"/>
  <c r="M92" i="6"/>
  <c r="O89" i="6"/>
  <c r="E97" i="6"/>
  <c r="L57" i="6"/>
  <c r="L76" i="6"/>
  <c r="C100" i="6"/>
  <c r="H58" i="6"/>
  <c r="H77" i="6"/>
  <c r="K56" i="6"/>
  <c r="K75" i="6"/>
  <c r="D61" i="6"/>
  <c r="D80" i="6"/>
  <c r="K55" i="6"/>
  <c r="K74" i="6"/>
  <c r="D98" i="6"/>
  <c r="F91" i="6"/>
  <c r="F7" i="10"/>
  <c r="F21" i="10"/>
  <c r="Z60" i="2"/>
  <c r="Z13" i="3"/>
  <c r="Z9" i="3"/>
  <c r="AB21" i="7"/>
  <c r="AB31" i="7"/>
  <c r="AB7" i="7"/>
  <c r="C55" i="2"/>
  <c r="C82" i="4" s="1"/>
  <c r="AB7" i="6"/>
  <c r="Z40" i="4"/>
  <c r="E28" i="1"/>
  <c r="Z8" i="2"/>
  <c r="AB87" i="6"/>
  <c r="AB68" i="6"/>
  <c r="AB30" i="6"/>
  <c r="AA39" i="5"/>
  <c r="Z26" i="4"/>
  <c r="Z28" i="2"/>
  <c r="AB26" i="6"/>
  <c r="AB8" i="5"/>
  <c r="Z17" i="4"/>
  <c r="AB49" i="6"/>
  <c r="Z8" i="4"/>
  <c r="F68" i="4"/>
  <c r="F66" i="4"/>
  <c r="F67" i="4" s="1"/>
  <c r="F64" i="4"/>
  <c r="F63" i="4"/>
  <c r="F62" i="4"/>
  <c r="F65" i="4"/>
  <c r="G59" i="4"/>
  <c r="G61" i="4" s="1"/>
  <c r="E54" i="2"/>
  <c r="E53" i="2"/>
  <c r="F47" i="2"/>
  <c r="E56" i="2"/>
  <c r="E50" i="2"/>
  <c r="E51" i="2"/>
  <c r="E49" i="2"/>
  <c r="E52" i="2"/>
  <c r="E86" i="4" l="1"/>
  <c r="B87" i="4"/>
  <c r="D27" i="7" s="1"/>
  <c r="D55" i="2"/>
  <c r="D82" i="4" s="1"/>
  <c r="E81" i="4"/>
  <c r="E85" i="4"/>
  <c r="C87" i="4"/>
  <c r="E27" i="7" s="1"/>
  <c r="D81" i="4"/>
  <c r="AL71" i="4"/>
  <c r="F59" i="7"/>
  <c r="AL79" i="4"/>
  <c r="D67" i="4"/>
  <c r="D84" i="4" s="1"/>
  <c r="D83" i="4"/>
  <c r="E67" i="4"/>
  <c r="E83" i="4"/>
  <c r="F83" i="4"/>
  <c r="F86" i="4"/>
  <c r="G30" i="10"/>
  <c r="E2" i="8"/>
  <c r="M24" i="6"/>
  <c r="M48" i="7" s="1"/>
  <c r="P47" i="6"/>
  <c r="P47" i="7" s="1"/>
  <c r="P51" i="6"/>
  <c r="P89" i="6" s="1"/>
  <c r="P70" i="6"/>
  <c r="M47" i="6"/>
  <c r="M47" i="7" s="1"/>
  <c r="O52" i="6"/>
  <c r="O90" i="6" s="1"/>
  <c r="O71" i="6"/>
  <c r="N54" i="6"/>
  <c r="N73" i="6"/>
  <c r="C101" i="6"/>
  <c r="D99" i="6"/>
  <c r="H96" i="6"/>
  <c r="E60" i="6"/>
  <c r="E79" i="6"/>
  <c r="K93" i="6"/>
  <c r="K94" i="6"/>
  <c r="D62" i="6"/>
  <c r="D81" i="6"/>
  <c r="L95" i="6"/>
  <c r="F59" i="6"/>
  <c r="F78" i="6"/>
  <c r="G53" i="6"/>
  <c r="G72" i="6"/>
  <c r="G21" i="10"/>
  <c r="G7" i="10"/>
  <c r="AL13" i="3"/>
  <c r="AL9" i="3"/>
  <c r="AL60" i="2"/>
  <c r="AN31" i="7"/>
  <c r="AN7" i="7"/>
  <c r="AN21" i="7"/>
  <c r="C57" i="2"/>
  <c r="C65" i="2" s="1"/>
  <c r="E55" i="2"/>
  <c r="F69" i="4"/>
  <c r="F76" i="4" s="1"/>
  <c r="AN87" i="6"/>
  <c r="AN68" i="6"/>
  <c r="AN30" i="6"/>
  <c r="AM39" i="5"/>
  <c r="AL26" i="4"/>
  <c r="AL28" i="2"/>
  <c r="AL8" i="2"/>
  <c r="AN26" i="6"/>
  <c r="AN8" i="5"/>
  <c r="AL17" i="4"/>
  <c r="AN49" i="6"/>
  <c r="AL8" i="4"/>
  <c r="AN7" i="6"/>
  <c r="AL40" i="4"/>
  <c r="F28" i="1"/>
  <c r="H59" i="4"/>
  <c r="H61" i="4" s="1"/>
  <c r="G68" i="4"/>
  <c r="G66" i="4"/>
  <c r="G67" i="4" s="1"/>
  <c r="G64" i="4"/>
  <c r="G63" i="4"/>
  <c r="G62" i="4"/>
  <c r="G65" i="4"/>
  <c r="G86" i="4" s="1"/>
  <c r="F54" i="2"/>
  <c r="F53" i="2"/>
  <c r="F85" i="4" s="1"/>
  <c r="F56" i="2"/>
  <c r="F50" i="2"/>
  <c r="F49" i="2"/>
  <c r="F52" i="2"/>
  <c r="F51" i="2"/>
  <c r="G47" i="2"/>
  <c r="D57" i="2" l="1"/>
  <c r="D65" i="2" s="1"/>
  <c r="D69" i="4"/>
  <c r="D76" i="4" s="1"/>
  <c r="D87" i="4"/>
  <c r="F27" i="7" s="1"/>
  <c r="F81" i="4"/>
  <c r="E82" i="4"/>
  <c r="AX71" i="4"/>
  <c r="G59" i="7"/>
  <c r="AX79" i="4"/>
  <c r="G83" i="4"/>
  <c r="G84" i="4"/>
  <c r="F84" i="4"/>
  <c r="E84" i="4"/>
  <c r="E69" i="4"/>
  <c r="E76" i="4" s="1"/>
  <c r="F2" i="8"/>
  <c r="H30" i="10"/>
  <c r="BL87" i="6"/>
  <c r="N24" i="6"/>
  <c r="N48" i="7" s="1"/>
  <c r="Q51" i="6"/>
  <c r="Q89" i="6" s="1"/>
  <c r="Q70" i="6"/>
  <c r="P52" i="6"/>
  <c r="P90" i="6" s="1"/>
  <c r="P71" i="6"/>
  <c r="N92" i="6"/>
  <c r="I58" i="6"/>
  <c r="I77" i="6"/>
  <c r="E61" i="6"/>
  <c r="E80" i="6"/>
  <c r="D63" i="6"/>
  <c r="D82" i="6"/>
  <c r="L55" i="6"/>
  <c r="L74" i="6"/>
  <c r="L56" i="6"/>
  <c r="L75" i="6"/>
  <c r="D100" i="6"/>
  <c r="M57" i="6"/>
  <c r="M76" i="6"/>
  <c r="F97" i="6"/>
  <c r="E98" i="6"/>
  <c r="C102" i="6"/>
  <c r="G91" i="6"/>
  <c r="H21" i="10"/>
  <c r="H7" i="10"/>
  <c r="AX13" i="3"/>
  <c r="AX9" i="3"/>
  <c r="AX60" i="2"/>
  <c r="AZ7" i="7"/>
  <c r="AZ31" i="7"/>
  <c r="AZ21" i="7"/>
  <c r="E57" i="2"/>
  <c r="E65" i="2" s="1"/>
  <c r="F55" i="2"/>
  <c r="G69" i="4"/>
  <c r="G76" i="4" s="1"/>
  <c r="AZ26" i="6"/>
  <c r="AZ8" i="5"/>
  <c r="AX17" i="4"/>
  <c r="AZ49" i="6"/>
  <c r="BL49" i="6" s="1"/>
  <c r="AX8" i="4"/>
  <c r="AZ7" i="6"/>
  <c r="AX40" i="4"/>
  <c r="AX8" i="2"/>
  <c r="AZ87" i="6"/>
  <c r="AZ68" i="6"/>
  <c r="AZ30" i="6"/>
  <c r="AY39" i="5"/>
  <c r="AX26" i="4"/>
  <c r="AX28" i="2"/>
  <c r="I59" i="4"/>
  <c r="I61" i="4" s="1"/>
  <c r="H68" i="4"/>
  <c r="H66" i="4"/>
  <c r="H65" i="4"/>
  <c r="H64" i="4"/>
  <c r="H63" i="4"/>
  <c r="H62" i="4"/>
  <c r="G53" i="2"/>
  <c r="G85" i="4" s="1"/>
  <c r="G54" i="2"/>
  <c r="G56" i="2"/>
  <c r="G49" i="2"/>
  <c r="G52" i="2"/>
  <c r="G51" i="2"/>
  <c r="G50" i="2"/>
  <c r="H47" i="2"/>
  <c r="E87" i="4" l="1"/>
  <c r="G27" i="7" s="1"/>
  <c r="F82" i="4"/>
  <c r="F87" i="4" s="1"/>
  <c r="H27" i="7" s="1"/>
  <c r="G81" i="4"/>
  <c r="H67" i="4"/>
  <c r="H69" i="4" s="1"/>
  <c r="H76" i="4" s="1"/>
  <c r="H83" i="4"/>
  <c r="H86" i="4"/>
  <c r="O24" i="6"/>
  <c r="O48" i="7" s="1"/>
  <c r="N47" i="6"/>
  <c r="N47" i="7" s="1"/>
  <c r="O54" i="6"/>
  <c r="O92" i="6" s="1"/>
  <c r="O73" i="6"/>
  <c r="Q52" i="6"/>
  <c r="Q90" i="6" s="1"/>
  <c r="Q71" i="6"/>
  <c r="O47" i="6"/>
  <c r="O47" i="7" s="1"/>
  <c r="G59" i="6"/>
  <c r="G78" i="6"/>
  <c r="D64" i="6"/>
  <c r="D83" i="6"/>
  <c r="E99" i="6"/>
  <c r="C103" i="6"/>
  <c r="C104" i="6" s="1"/>
  <c r="C47" i="6"/>
  <c r="I96" i="6"/>
  <c r="F60" i="6"/>
  <c r="F79" i="6"/>
  <c r="E62" i="6"/>
  <c r="E81" i="6"/>
  <c r="L94" i="6"/>
  <c r="M95" i="6"/>
  <c r="D101" i="6"/>
  <c r="L93" i="6"/>
  <c r="H53" i="6"/>
  <c r="H72" i="6"/>
  <c r="R51" i="6"/>
  <c r="R70" i="6"/>
  <c r="F57" i="2"/>
  <c r="F65" i="2" s="1"/>
  <c r="G55" i="2"/>
  <c r="I68" i="4"/>
  <c r="I66" i="4"/>
  <c r="I83" i="4" s="1"/>
  <c r="I65" i="4"/>
  <c r="I86" i="4" s="1"/>
  <c r="I64" i="4"/>
  <c r="I63" i="4"/>
  <c r="I62" i="4"/>
  <c r="J59" i="4"/>
  <c r="J61" i="4" s="1"/>
  <c r="H53" i="2"/>
  <c r="H54" i="2"/>
  <c r="H81" i="4" s="1"/>
  <c r="H56" i="2"/>
  <c r="H49" i="2"/>
  <c r="H52" i="2"/>
  <c r="H50" i="2"/>
  <c r="H51" i="2"/>
  <c r="I47" i="2"/>
  <c r="G57" i="2" l="1"/>
  <c r="G65" i="2" s="1"/>
  <c r="H85" i="4"/>
  <c r="G82" i="4"/>
  <c r="G87" i="4" s="1"/>
  <c r="I27" i="7" s="1"/>
  <c r="I67" i="4"/>
  <c r="H84" i="4"/>
  <c r="P24" i="6"/>
  <c r="P48" i="7" s="1"/>
  <c r="R52" i="6"/>
  <c r="R90" i="6" s="1"/>
  <c r="R71" i="6"/>
  <c r="P54" i="6"/>
  <c r="P73" i="6"/>
  <c r="R47" i="6"/>
  <c r="R47" i="7" s="1"/>
  <c r="S47" i="6"/>
  <c r="S47" i="7" s="1"/>
  <c r="N57" i="6"/>
  <c r="N76" i="6"/>
  <c r="M56" i="6"/>
  <c r="M75" i="6"/>
  <c r="F98" i="6"/>
  <c r="J58" i="6"/>
  <c r="J77" i="6"/>
  <c r="D102" i="6"/>
  <c r="M55" i="6"/>
  <c r="M74" i="6"/>
  <c r="E63" i="6"/>
  <c r="E82" i="6"/>
  <c r="E100" i="6"/>
  <c r="C47" i="7"/>
  <c r="C53" i="7" s="1"/>
  <c r="D65" i="6"/>
  <c r="D84" i="6"/>
  <c r="D85" i="6" s="1"/>
  <c r="D50" i="7" s="1"/>
  <c r="F61" i="6"/>
  <c r="F80" i="6"/>
  <c r="G97" i="6"/>
  <c r="H91" i="6"/>
  <c r="R89" i="6"/>
  <c r="H55" i="2"/>
  <c r="J65" i="4"/>
  <c r="J64" i="4"/>
  <c r="J63" i="4"/>
  <c r="J62" i="4"/>
  <c r="J68" i="4"/>
  <c r="J66" i="4"/>
  <c r="K59" i="4"/>
  <c r="K61" i="4" s="1"/>
  <c r="I54" i="2"/>
  <c r="I81" i="4" s="1"/>
  <c r="I53" i="2"/>
  <c r="I56" i="2"/>
  <c r="I51" i="2"/>
  <c r="I49" i="2"/>
  <c r="I52" i="2"/>
  <c r="I50" i="2"/>
  <c r="J47" i="2"/>
  <c r="H57" i="2" l="1"/>
  <c r="H65" i="2" s="1"/>
  <c r="H82" i="4"/>
  <c r="H87" i="4" s="1"/>
  <c r="J27" i="7" s="1"/>
  <c r="I85" i="4"/>
  <c r="I69" i="4"/>
  <c r="I76" i="4" s="1"/>
  <c r="I84" i="4"/>
  <c r="J67" i="4"/>
  <c r="J83" i="4"/>
  <c r="J86" i="4"/>
  <c r="Q24" i="6"/>
  <c r="Q48" i="7" s="1"/>
  <c r="Q47" i="6"/>
  <c r="Q47" i="7" s="1"/>
  <c r="P92" i="6"/>
  <c r="T47" i="6"/>
  <c r="T47" i="7" s="1"/>
  <c r="S52" i="6"/>
  <c r="S90" i="6" s="1"/>
  <c r="S71" i="6"/>
  <c r="D66" i="6"/>
  <c r="D53" i="7" s="1"/>
  <c r="D103" i="6"/>
  <c r="E64" i="6"/>
  <c r="E83" i="6"/>
  <c r="M94" i="6"/>
  <c r="H59" i="6"/>
  <c r="H78" i="6"/>
  <c r="E101" i="6"/>
  <c r="F99" i="6"/>
  <c r="J96" i="6"/>
  <c r="N95" i="6"/>
  <c r="D16" i="7"/>
  <c r="F62" i="6"/>
  <c r="F81" i="6"/>
  <c r="M93" i="6"/>
  <c r="G60" i="6"/>
  <c r="G79" i="6"/>
  <c r="I53" i="6"/>
  <c r="I72" i="6"/>
  <c r="S70" i="6"/>
  <c r="S51" i="6"/>
  <c r="I55" i="2"/>
  <c r="I82" i="4" s="1"/>
  <c r="L59" i="4"/>
  <c r="L61" i="4" s="1"/>
  <c r="K65" i="4"/>
  <c r="K64" i="4"/>
  <c r="K63" i="4"/>
  <c r="K62" i="4"/>
  <c r="K68" i="4"/>
  <c r="K66" i="4"/>
  <c r="K67" i="4" s="1"/>
  <c r="J54" i="2"/>
  <c r="J81" i="4" s="1"/>
  <c r="J53" i="2"/>
  <c r="K47" i="2"/>
  <c r="J56" i="2"/>
  <c r="J52" i="2"/>
  <c r="J50" i="2"/>
  <c r="J51" i="2"/>
  <c r="J49" i="2"/>
  <c r="I87" i="4" l="1"/>
  <c r="K27" i="7" s="1"/>
  <c r="J85" i="4"/>
  <c r="K84" i="4"/>
  <c r="K86" i="4"/>
  <c r="J69" i="4"/>
  <c r="J76" i="4" s="1"/>
  <c r="J84" i="4"/>
  <c r="K83" i="4"/>
  <c r="I57" i="2"/>
  <c r="I65" i="2" s="1"/>
  <c r="R24" i="6"/>
  <c r="R48" i="7" s="1"/>
  <c r="T52" i="6"/>
  <c r="T90" i="6" s="1"/>
  <c r="T71" i="6"/>
  <c r="Q73" i="6"/>
  <c r="Q54" i="6"/>
  <c r="U47" i="6"/>
  <c r="U47" i="7" s="1"/>
  <c r="F100" i="6"/>
  <c r="H97" i="6"/>
  <c r="N55" i="6"/>
  <c r="N74" i="6"/>
  <c r="K58" i="6"/>
  <c r="K77" i="6"/>
  <c r="N56" i="6"/>
  <c r="N75" i="6"/>
  <c r="E65" i="6"/>
  <c r="E84" i="6"/>
  <c r="E85" i="6" s="1"/>
  <c r="D104" i="6"/>
  <c r="O57" i="6"/>
  <c r="O76" i="6"/>
  <c r="C56" i="7"/>
  <c r="D55" i="7" s="1"/>
  <c r="G98" i="6"/>
  <c r="G61" i="6"/>
  <c r="G80" i="6"/>
  <c r="F63" i="6"/>
  <c r="F82" i="6"/>
  <c r="E102" i="6"/>
  <c r="I91" i="6"/>
  <c r="S89" i="6"/>
  <c r="K69" i="4"/>
  <c r="K76" i="4" s="1"/>
  <c r="Q14" i="7"/>
  <c r="AG14" i="7"/>
  <c r="AW14" i="7"/>
  <c r="F14" i="7"/>
  <c r="V14" i="7"/>
  <c r="AL14" i="7"/>
  <c r="S14" i="7"/>
  <c r="AI14" i="7"/>
  <c r="L14" i="7"/>
  <c r="AB14" i="7"/>
  <c r="AU14" i="7"/>
  <c r="AP14" i="7"/>
  <c r="AR14" i="7"/>
  <c r="AT14" i="7"/>
  <c r="E14" i="7"/>
  <c r="U14" i="7"/>
  <c r="AK14" i="7"/>
  <c r="BA14" i="7"/>
  <c r="J14" i="7"/>
  <c r="Z14" i="7"/>
  <c r="G14" i="7"/>
  <c r="W14" i="7"/>
  <c r="AM14" i="7"/>
  <c r="P14" i="7"/>
  <c r="AF14" i="7"/>
  <c r="AZ14" i="7"/>
  <c r="AV14" i="7"/>
  <c r="AX14" i="7"/>
  <c r="AY14" i="7"/>
  <c r="I14" i="7"/>
  <c r="Y14" i="7"/>
  <c r="AO14" i="7"/>
  <c r="BE14" i="7"/>
  <c r="N14" i="7"/>
  <c r="AD14" i="7"/>
  <c r="K14" i="7"/>
  <c r="AA14" i="7"/>
  <c r="AQ14" i="7"/>
  <c r="T14" i="7"/>
  <c r="AJ14" i="7"/>
  <c r="BF14" i="7"/>
  <c r="BB14" i="7"/>
  <c r="BC14" i="7"/>
  <c r="BD14" i="7"/>
  <c r="M14" i="7"/>
  <c r="AC14" i="7"/>
  <c r="AS14" i="7"/>
  <c r="BI14" i="7"/>
  <c r="R14" i="7"/>
  <c r="AH14" i="7"/>
  <c r="O14" i="7"/>
  <c r="AE14" i="7"/>
  <c r="H14" i="7"/>
  <c r="X14" i="7"/>
  <c r="AN14" i="7"/>
  <c r="BK14" i="7"/>
  <c r="BG14" i="7"/>
  <c r="BH14" i="7"/>
  <c r="BJ14" i="7"/>
  <c r="J55" i="2"/>
  <c r="L68" i="4"/>
  <c r="L66" i="4"/>
  <c r="L65" i="4"/>
  <c r="L86" i="4" s="1"/>
  <c r="L64" i="4"/>
  <c r="L63" i="4"/>
  <c r="L62" i="4"/>
  <c r="M59" i="4"/>
  <c r="M61" i="4" s="1"/>
  <c r="K54" i="2"/>
  <c r="K81" i="4" s="1"/>
  <c r="K53" i="2"/>
  <c r="K85" i="4" s="1"/>
  <c r="K56" i="2"/>
  <c r="K52" i="2"/>
  <c r="K50" i="2"/>
  <c r="K51" i="2"/>
  <c r="K49" i="2"/>
  <c r="L47" i="2"/>
  <c r="J57" i="2" l="1"/>
  <c r="J65" i="2" s="1"/>
  <c r="J82" i="4"/>
  <c r="J87" i="4" s="1"/>
  <c r="L27" i="7" s="1"/>
  <c r="G14" i="10"/>
  <c r="G32" i="10" s="1"/>
  <c r="E14" i="10"/>
  <c r="E32" i="10" s="1"/>
  <c r="H14" i="10"/>
  <c r="H32" i="10" s="1"/>
  <c r="F14" i="10"/>
  <c r="F32" i="10" s="1"/>
  <c r="E16" i="7"/>
  <c r="E50" i="7"/>
  <c r="L67" i="4"/>
  <c r="L69" i="4" s="1"/>
  <c r="L76" i="4" s="1"/>
  <c r="L83" i="4"/>
  <c r="D14" i="7"/>
  <c r="D14" i="10" s="1"/>
  <c r="S24" i="6"/>
  <c r="S48" i="7" s="1"/>
  <c r="Q92" i="6"/>
  <c r="V47" i="6"/>
  <c r="V47" i="7" s="1"/>
  <c r="U52" i="6"/>
  <c r="U90" i="6" s="1"/>
  <c r="U71" i="6"/>
  <c r="G99" i="6"/>
  <c r="N94" i="6"/>
  <c r="N93" i="6"/>
  <c r="I59" i="6"/>
  <c r="I78" i="6"/>
  <c r="G62" i="6"/>
  <c r="G81" i="6"/>
  <c r="F101" i="6"/>
  <c r="H60" i="6"/>
  <c r="H79" i="6"/>
  <c r="O95" i="6"/>
  <c r="E103" i="6"/>
  <c r="E104" i="6" s="1"/>
  <c r="E66" i="6"/>
  <c r="E51" i="7" s="1"/>
  <c r="K96" i="6"/>
  <c r="F64" i="6"/>
  <c r="F83" i="6"/>
  <c r="J53" i="6"/>
  <c r="J72" i="6"/>
  <c r="T70" i="6"/>
  <c r="T51" i="6"/>
  <c r="K55" i="2"/>
  <c r="K82" i="4" s="1"/>
  <c r="K87" i="4" s="1"/>
  <c r="M27" i="7" s="1"/>
  <c r="N59" i="4"/>
  <c r="N61" i="4" s="1"/>
  <c r="M68" i="4"/>
  <c r="M66" i="4"/>
  <c r="M65" i="4"/>
  <c r="M86" i="4" s="1"/>
  <c r="M64" i="4"/>
  <c r="M63" i="4"/>
  <c r="M62" i="4"/>
  <c r="L53" i="2"/>
  <c r="L54" i="2"/>
  <c r="L81" i="4" s="1"/>
  <c r="L56" i="2"/>
  <c r="L51" i="2"/>
  <c r="L52" i="2"/>
  <c r="L50" i="2"/>
  <c r="L49" i="2"/>
  <c r="M47" i="2"/>
  <c r="D32" i="10" l="1"/>
  <c r="B15" i="4"/>
  <c r="B73" i="4" s="1"/>
  <c r="L85" i="4"/>
  <c r="E53" i="7"/>
  <c r="M67" i="4"/>
  <c r="M84" i="4" s="1"/>
  <c r="M83" i="4"/>
  <c r="L84" i="4"/>
  <c r="K57" i="2"/>
  <c r="K65" i="2" s="1"/>
  <c r="T24" i="6"/>
  <c r="T48" i="7" s="1"/>
  <c r="V52" i="6"/>
  <c r="V90" i="6" s="1"/>
  <c r="V71" i="6"/>
  <c r="R73" i="6"/>
  <c r="R54" i="6"/>
  <c r="W47" i="6"/>
  <c r="W47" i="7" s="1"/>
  <c r="I97" i="6"/>
  <c r="P57" i="6"/>
  <c r="P76" i="6"/>
  <c r="H98" i="6"/>
  <c r="G100" i="6"/>
  <c r="H61" i="6"/>
  <c r="H80" i="6"/>
  <c r="L58" i="6"/>
  <c r="L77" i="6"/>
  <c r="F65" i="6"/>
  <c r="F84" i="6"/>
  <c r="F85" i="6" s="1"/>
  <c r="G63" i="6"/>
  <c r="G82" i="6"/>
  <c r="F102" i="6"/>
  <c r="O55" i="6"/>
  <c r="O74" i="6"/>
  <c r="O56" i="6"/>
  <c r="O75" i="6"/>
  <c r="J91" i="6"/>
  <c r="T89" i="6"/>
  <c r="L55" i="2"/>
  <c r="L82" i="4" s="1"/>
  <c r="N68" i="4"/>
  <c r="N66" i="4"/>
  <c r="N64" i="4"/>
  <c r="N63" i="4"/>
  <c r="N62" i="4"/>
  <c r="N65" i="4"/>
  <c r="O59" i="4"/>
  <c r="O61" i="4" s="1"/>
  <c r="M54" i="2"/>
  <c r="M81" i="4" s="1"/>
  <c r="M53" i="2"/>
  <c r="M85" i="4" s="1"/>
  <c r="M50" i="2"/>
  <c r="M56" i="2"/>
  <c r="M51" i="2"/>
  <c r="M52" i="2"/>
  <c r="M49" i="2"/>
  <c r="N47" i="2"/>
  <c r="B24" i="4" l="1"/>
  <c r="B74" i="4" s="1"/>
  <c r="B38" i="4"/>
  <c r="B75" i="4" s="1"/>
  <c r="D9" i="7"/>
  <c r="D23" i="7" s="1"/>
  <c r="M69" i="4"/>
  <c r="M76" i="4" s="1"/>
  <c r="L87" i="4"/>
  <c r="N27" i="7" s="1"/>
  <c r="L57" i="2"/>
  <c r="L65" i="2" s="1"/>
  <c r="F50" i="7"/>
  <c r="F16" i="7"/>
  <c r="N86" i="4"/>
  <c r="N67" i="4"/>
  <c r="N69" i="4" s="1"/>
  <c r="N76" i="4" s="1"/>
  <c r="N83" i="4"/>
  <c r="U24" i="6"/>
  <c r="U48" i="7" s="1"/>
  <c r="C30" i="3"/>
  <c r="R92" i="6"/>
  <c r="X47" i="6"/>
  <c r="X47" i="7" s="1"/>
  <c r="W52" i="6"/>
  <c r="W90" i="6" s="1"/>
  <c r="W71" i="6"/>
  <c r="G64" i="6"/>
  <c r="G83" i="6"/>
  <c r="P95" i="6"/>
  <c r="O94" i="6"/>
  <c r="G101" i="6"/>
  <c r="L96" i="6"/>
  <c r="H99" i="6"/>
  <c r="H62" i="6"/>
  <c r="H81" i="6"/>
  <c r="I60" i="6"/>
  <c r="I79" i="6"/>
  <c r="J59" i="6"/>
  <c r="J78" i="6"/>
  <c r="O93" i="6"/>
  <c r="F66" i="6"/>
  <c r="F51" i="7" s="1"/>
  <c r="F103" i="6"/>
  <c r="K53" i="6"/>
  <c r="K72" i="6"/>
  <c r="U70" i="6"/>
  <c r="U51" i="6"/>
  <c r="D30" i="3"/>
  <c r="D10" i="7"/>
  <c r="M55" i="2"/>
  <c r="M82" i="4" s="1"/>
  <c r="M87" i="4" s="1"/>
  <c r="O27" i="7" s="1"/>
  <c r="D26" i="10" s="1"/>
  <c r="P59" i="4"/>
  <c r="P61" i="4" s="1"/>
  <c r="O68" i="4"/>
  <c r="O66" i="4"/>
  <c r="O67" i="4" s="1"/>
  <c r="O64" i="4"/>
  <c r="O63" i="4"/>
  <c r="O62" i="4"/>
  <c r="O65" i="4"/>
  <c r="N54" i="2"/>
  <c r="N53" i="2"/>
  <c r="N56" i="2"/>
  <c r="N50" i="2"/>
  <c r="N49" i="2"/>
  <c r="N51" i="2"/>
  <c r="N52" i="2"/>
  <c r="O47" i="2"/>
  <c r="C38" i="4" l="1"/>
  <c r="C75" i="4" s="1"/>
  <c r="B77" i="4"/>
  <c r="D12" i="7" s="1"/>
  <c r="C15" i="4"/>
  <c r="C73" i="4" s="1"/>
  <c r="D15" i="4"/>
  <c r="D73" i="4" s="1"/>
  <c r="F9" i="7"/>
  <c r="F23" i="7" s="1"/>
  <c r="E9" i="7"/>
  <c r="E23" i="7" s="1"/>
  <c r="N81" i="4"/>
  <c r="N85" i="4"/>
  <c r="F53" i="7"/>
  <c r="D33" i="7"/>
  <c r="D11" i="7"/>
  <c r="O84" i="4"/>
  <c r="N84" i="4"/>
  <c r="O86" i="4"/>
  <c r="O83" i="4"/>
  <c r="V24" i="6"/>
  <c r="V48" i="7" s="1"/>
  <c r="Y47" i="6"/>
  <c r="Y47" i="7" s="1"/>
  <c r="X71" i="6"/>
  <c r="X52" i="6"/>
  <c r="X90" i="6" s="1"/>
  <c r="S54" i="6"/>
  <c r="S73" i="6"/>
  <c r="J97" i="6"/>
  <c r="G65" i="6"/>
  <c r="G84" i="6"/>
  <c r="G85" i="6" s="1"/>
  <c r="P55" i="6"/>
  <c r="P74" i="6"/>
  <c r="H100" i="6"/>
  <c r="Q57" i="6"/>
  <c r="Q95" i="6" s="1"/>
  <c r="Q76" i="6"/>
  <c r="F104" i="6"/>
  <c r="I61" i="6"/>
  <c r="I80" i="6"/>
  <c r="P56" i="6"/>
  <c r="P94" i="6" s="1"/>
  <c r="P75" i="6"/>
  <c r="I98" i="6"/>
  <c r="M58" i="6"/>
  <c r="M96" i="6" s="1"/>
  <c r="M77" i="6"/>
  <c r="H63" i="6"/>
  <c r="H82" i="6"/>
  <c r="G102" i="6"/>
  <c r="K91" i="6"/>
  <c r="U89" i="6"/>
  <c r="E30" i="3"/>
  <c r="D24" i="7"/>
  <c r="D25" i="7" s="1"/>
  <c r="E10" i="7"/>
  <c r="M57" i="2"/>
  <c r="M65" i="2" s="1"/>
  <c r="N55" i="2"/>
  <c r="Q59" i="4"/>
  <c r="Q61" i="4" s="1"/>
  <c r="P68" i="4"/>
  <c r="P66" i="4"/>
  <c r="P65" i="4"/>
  <c r="P64" i="4"/>
  <c r="P63" i="4"/>
  <c r="P62" i="4"/>
  <c r="O69" i="4"/>
  <c r="O76" i="4" s="1"/>
  <c r="O54" i="2"/>
  <c r="O53" i="2"/>
  <c r="O85" i="4" s="1"/>
  <c r="O56" i="2"/>
  <c r="O52" i="2"/>
  <c r="O50" i="2"/>
  <c r="O51" i="2"/>
  <c r="O49" i="2"/>
  <c r="P47" i="2"/>
  <c r="D24" i="4" l="1"/>
  <c r="D74" i="4" s="1"/>
  <c r="C24" i="4"/>
  <c r="C74" i="4" s="1"/>
  <c r="C77" i="4" s="1"/>
  <c r="E12" i="7" s="1"/>
  <c r="D38" i="4"/>
  <c r="D75" i="4" s="1"/>
  <c r="E15" i="4"/>
  <c r="E73" i="4" s="1"/>
  <c r="F33" i="7"/>
  <c r="G9" i="7"/>
  <c r="G23" i="7" s="1"/>
  <c r="E33" i="7"/>
  <c r="N57" i="2"/>
  <c r="N65" i="2" s="1"/>
  <c r="N82" i="4"/>
  <c r="N87" i="4" s="1"/>
  <c r="P27" i="7" s="1"/>
  <c r="O81" i="4"/>
  <c r="E11" i="7"/>
  <c r="D34" i="7"/>
  <c r="G50" i="7"/>
  <c r="G16" i="7"/>
  <c r="D15" i="7"/>
  <c r="D17" i="7" s="1"/>
  <c r="D18" i="7" s="1"/>
  <c r="P67" i="4"/>
  <c r="P69" i="4" s="1"/>
  <c r="P76" i="4" s="1"/>
  <c r="P83" i="4"/>
  <c r="P86" i="4"/>
  <c r="W24" i="6"/>
  <c r="W48" i="7" s="1"/>
  <c r="S92" i="6"/>
  <c r="Y71" i="6"/>
  <c r="Y52" i="6"/>
  <c r="Y90" i="6" s="1"/>
  <c r="Z47" i="6"/>
  <c r="Z47" i="7" s="1"/>
  <c r="J60" i="6"/>
  <c r="J79" i="6"/>
  <c r="G103" i="6"/>
  <c r="G104" i="6" s="1"/>
  <c r="H64" i="6"/>
  <c r="H83" i="6"/>
  <c r="N58" i="6"/>
  <c r="N96" i="6" s="1"/>
  <c r="N77" i="6"/>
  <c r="I99" i="6"/>
  <c r="K59" i="6"/>
  <c r="K78" i="6"/>
  <c r="G66" i="6"/>
  <c r="G51" i="7" s="1"/>
  <c r="R57" i="6"/>
  <c r="R95" i="6" s="1"/>
  <c r="R76" i="6"/>
  <c r="P93" i="6"/>
  <c r="H101" i="6"/>
  <c r="Q56" i="6"/>
  <c r="Q94" i="6" s="1"/>
  <c r="Q75" i="6"/>
  <c r="I62" i="6"/>
  <c r="I100" i="6" s="1"/>
  <c r="I81" i="6"/>
  <c r="L53" i="6"/>
  <c r="L72" i="6"/>
  <c r="V70" i="6"/>
  <c r="V51" i="6"/>
  <c r="E24" i="7"/>
  <c r="E25" i="7" s="1"/>
  <c r="F10" i="7"/>
  <c r="O55" i="2"/>
  <c r="Q68" i="4"/>
  <c r="Q66" i="4"/>
  <c r="Q65" i="4"/>
  <c r="Q86" i="4" s="1"/>
  <c r="Q64" i="4"/>
  <c r="Q63" i="4"/>
  <c r="Q62" i="4"/>
  <c r="R59" i="4"/>
  <c r="R61" i="4" s="1"/>
  <c r="P53" i="2"/>
  <c r="P54" i="2"/>
  <c r="P56" i="2"/>
  <c r="P52" i="2"/>
  <c r="P50" i="2"/>
  <c r="P51" i="2"/>
  <c r="P49" i="2"/>
  <c r="Q47" i="2"/>
  <c r="E24" i="4" l="1"/>
  <c r="E74" i="4" s="1"/>
  <c r="D77" i="4"/>
  <c r="F12" i="7" s="1"/>
  <c r="G33" i="7"/>
  <c r="E38" i="4"/>
  <c r="E75" i="4" s="1"/>
  <c r="E15" i="7"/>
  <c r="E17" i="7" s="1"/>
  <c r="P81" i="4"/>
  <c r="P85" i="4"/>
  <c r="O82" i="4"/>
  <c r="O87" i="4" s="1"/>
  <c r="Q27" i="7" s="1"/>
  <c r="G53" i="7"/>
  <c r="E34" i="7"/>
  <c r="F11" i="7"/>
  <c r="D19" i="7"/>
  <c r="P84" i="4"/>
  <c r="Q67" i="4"/>
  <c r="Q84" i="4" s="1"/>
  <c r="Q83" i="4"/>
  <c r="D26" i="7"/>
  <c r="X24" i="6"/>
  <c r="X48" i="7" s="1"/>
  <c r="F30" i="3"/>
  <c r="T54" i="6"/>
  <c r="T73" i="6"/>
  <c r="Z52" i="6"/>
  <c r="Z90" i="6" s="1"/>
  <c r="Z71" i="6"/>
  <c r="H65" i="6"/>
  <c r="H103" i="6" s="1"/>
  <c r="H84" i="6"/>
  <c r="H85" i="6" s="1"/>
  <c r="J62" i="6"/>
  <c r="J100" i="6" s="1"/>
  <c r="J81" i="6"/>
  <c r="J61" i="6"/>
  <c r="J80" i="6"/>
  <c r="I63" i="6"/>
  <c r="I82" i="6"/>
  <c r="S57" i="6"/>
  <c r="S95" i="6" s="1"/>
  <c r="S76" i="6"/>
  <c r="K97" i="6"/>
  <c r="H102" i="6"/>
  <c r="R56" i="6"/>
  <c r="R94" i="6" s="1"/>
  <c r="R75" i="6"/>
  <c r="Q55" i="6"/>
  <c r="Q93" i="6" s="1"/>
  <c r="Q74" i="6"/>
  <c r="O58" i="6"/>
  <c r="O96" i="6" s="1"/>
  <c r="O77" i="6"/>
  <c r="J98" i="6"/>
  <c r="L91" i="6"/>
  <c r="V89" i="6"/>
  <c r="F24" i="7"/>
  <c r="F25" i="7" s="1"/>
  <c r="O57" i="2"/>
  <c r="O65" i="2" s="1"/>
  <c r="G10" i="7"/>
  <c r="P55" i="2"/>
  <c r="R65" i="4"/>
  <c r="R86" i="4" s="1"/>
  <c r="R64" i="4"/>
  <c r="R63" i="4"/>
  <c r="R62" i="4"/>
  <c r="R68" i="4"/>
  <c r="R66" i="4"/>
  <c r="R67" i="4" s="1"/>
  <c r="S59" i="4"/>
  <c r="S61" i="4" s="1"/>
  <c r="Q54" i="2"/>
  <c r="Q53" i="2"/>
  <c r="Q85" i="4" s="1"/>
  <c r="Q56" i="2"/>
  <c r="Q51" i="2"/>
  <c r="Q49" i="2"/>
  <c r="Q52" i="2"/>
  <c r="Q50" i="2"/>
  <c r="R47" i="2"/>
  <c r="E77" i="4" l="1"/>
  <c r="G12" i="7" s="1"/>
  <c r="F38" i="4"/>
  <c r="F75" i="4" s="1"/>
  <c r="F15" i="4"/>
  <c r="F73" i="4" s="1"/>
  <c r="H9" i="7"/>
  <c r="H23" i="7" s="1"/>
  <c r="H33" i="7" s="1"/>
  <c r="Q69" i="4"/>
  <c r="Q76" i="4" s="1"/>
  <c r="P82" i="4"/>
  <c r="P87" i="4" s="1"/>
  <c r="R27" i="7" s="1"/>
  <c r="Q81" i="4"/>
  <c r="D29" i="7"/>
  <c r="D35" i="7" s="1"/>
  <c r="D36" i="7" s="1"/>
  <c r="E28" i="7"/>
  <c r="F34" i="7"/>
  <c r="G11" i="7"/>
  <c r="F15" i="7"/>
  <c r="F17" i="7" s="1"/>
  <c r="F18" i="7" s="1"/>
  <c r="H16" i="7"/>
  <c r="H50" i="7"/>
  <c r="R83" i="4"/>
  <c r="R84" i="4"/>
  <c r="Y24" i="6"/>
  <c r="Y48" i="7" s="1"/>
  <c r="G30" i="3"/>
  <c r="H104" i="6"/>
  <c r="AA71" i="6"/>
  <c r="AA52" i="6"/>
  <c r="AA90" i="6" s="1"/>
  <c r="AA47" i="6"/>
  <c r="AA47" i="7" s="1"/>
  <c r="T92" i="6"/>
  <c r="H66" i="6"/>
  <c r="H51" i="7" s="1"/>
  <c r="P58" i="6"/>
  <c r="P96" i="6" s="1"/>
  <c r="P77" i="6"/>
  <c r="S56" i="6"/>
  <c r="S94" i="6" s="1"/>
  <c r="S75" i="6"/>
  <c r="L59" i="6"/>
  <c r="L78" i="6"/>
  <c r="I101" i="6"/>
  <c r="I65" i="6"/>
  <c r="I103" i="6" s="1"/>
  <c r="I84" i="6"/>
  <c r="K60" i="6"/>
  <c r="K79" i="6"/>
  <c r="R55" i="6"/>
  <c r="R93" i="6" s="1"/>
  <c r="R74" i="6"/>
  <c r="T76" i="6"/>
  <c r="T57" i="6"/>
  <c r="T95" i="6" s="1"/>
  <c r="K62" i="6"/>
  <c r="K100" i="6" s="1"/>
  <c r="K81" i="6"/>
  <c r="I64" i="6"/>
  <c r="I102" i="6" s="1"/>
  <c r="I83" i="6"/>
  <c r="J99" i="6"/>
  <c r="M53" i="6"/>
  <c r="M72" i="6"/>
  <c r="W70" i="6"/>
  <c r="W51" i="6"/>
  <c r="E18" i="7"/>
  <c r="G24" i="7"/>
  <c r="G25" i="7" s="1"/>
  <c r="H10" i="7"/>
  <c r="Q55" i="2"/>
  <c r="P57" i="2"/>
  <c r="P65" i="2" s="1"/>
  <c r="T59" i="4"/>
  <c r="T61" i="4" s="1"/>
  <c r="R69" i="4"/>
  <c r="R76" i="4" s="1"/>
  <c r="S65" i="4"/>
  <c r="S86" i="4" s="1"/>
  <c r="S64" i="4"/>
  <c r="S63" i="4"/>
  <c r="S62" i="4"/>
  <c r="S68" i="4"/>
  <c r="S66" i="4"/>
  <c r="S83" i="4" s="1"/>
  <c r="R53" i="2"/>
  <c r="R54" i="2"/>
  <c r="S47" i="2"/>
  <c r="R56" i="2"/>
  <c r="R49" i="2"/>
  <c r="R52" i="2"/>
  <c r="R50" i="2"/>
  <c r="R51" i="2"/>
  <c r="G15" i="7" l="1"/>
  <c r="G17" i="7" s="1"/>
  <c r="F24" i="4"/>
  <c r="F74" i="4" s="1"/>
  <c r="F77" i="4" s="1"/>
  <c r="H12" i="7" s="1"/>
  <c r="G38" i="4"/>
  <c r="G75" i="4" s="1"/>
  <c r="G15" i="4"/>
  <c r="G73" i="4" s="1"/>
  <c r="I9" i="7"/>
  <c r="I23" i="7" s="1"/>
  <c r="R85" i="4"/>
  <c r="R81" i="4"/>
  <c r="Q82" i="4"/>
  <c r="Q87" i="4" s="1"/>
  <c r="S27" i="7" s="1"/>
  <c r="H53" i="7"/>
  <c r="G34" i="7"/>
  <c r="H11" i="7"/>
  <c r="F19" i="7"/>
  <c r="S67" i="4"/>
  <c r="S69" i="4" s="1"/>
  <c r="S76" i="4" s="1"/>
  <c r="E19" i="7"/>
  <c r="E26" i="7"/>
  <c r="E29" i="7" s="1"/>
  <c r="E35" i="7" s="1"/>
  <c r="E36" i="7" s="1"/>
  <c r="F26" i="7"/>
  <c r="Z24" i="6"/>
  <c r="Z48" i="7" s="1"/>
  <c r="H30" i="3"/>
  <c r="U73" i="6"/>
  <c r="U54" i="6"/>
  <c r="AB47" i="6"/>
  <c r="AB47" i="7" s="1"/>
  <c r="AB52" i="6"/>
  <c r="AB90" i="6" s="1"/>
  <c r="AB71" i="6"/>
  <c r="AC47" i="6"/>
  <c r="AC47" i="7" s="1"/>
  <c r="U57" i="6"/>
  <c r="U95" i="6" s="1"/>
  <c r="U76" i="6"/>
  <c r="J65" i="6"/>
  <c r="J103" i="6" s="1"/>
  <c r="J84" i="6"/>
  <c r="J63" i="6"/>
  <c r="J82" i="6"/>
  <c r="I104" i="6"/>
  <c r="J64" i="6"/>
  <c r="J102" i="6" s="1"/>
  <c r="J83" i="6"/>
  <c r="T56" i="6"/>
  <c r="T94" i="6" s="1"/>
  <c r="T75" i="6"/>
  <c r="K98" i="6"/>
  <c r="K61" i="6"/>
  <c r="K80" i="6"/>
  <c r="L62" i="6"/>
  <c r="L100" i="6" s="1"/>
  <c r="L81" i="6"/>
  <c r="S55" i="6"/>
  <c r="S93" i="6" s="1"/>
  <c r="S74" i="6"/>
  <c r="I85" i="6"/>
  <c r="I66" i="6"/>
  <c r="I51" i="7" s="1"/>
  <c r="L97" i="6"/>
  <c r="Q58" i="6"/>
  <c r="Q96" i="6" s="1"/>
  <c r="Q77" i="6"/>
  <c r="M91" i="6"/>
  <c r="W89" i="6"/>
  <c r="D56" i="7"/>
  <c r="Q57" i="2"/>
  <c r="Q65" i="2" s="1"/>
  <c r="I30" i="3"/>
  <c r="H24" i="7"/>
  <c r="H25" i="7" s="1"/>
  <c r="I10" i="7"/>
  <c r="R55" i="2"/>
  <c r="T68" i="4"/>
  <c r="T66" i="4"/>
  <c r="T65" i="4"/>
  <c r="T64" i="4"/>
  <c r="T63" i="4"/>
  <c r="T62" i="4"/>
  <c r="U59" i="4"/>
  <c r="U61" i="4" s="1"/>
  <c r="S54" i="2"/>
  <c r="S81" i="4" s="1"/>
  <c r="S53" i="2"/>
  <c r="S85" i="4" s="1"/>
  <c r="S56" i="2"/>
  <c r="S50" i="2"/>
  <c r="S51" i="2"/>
  <c r="S52" i="2"/>
  <c r="S49" i="2"/>
  <c r="T47" i="2"/>
  <c r="G24" i="4" l="1"/>
  <c r="G74" i="4" s="1"/>
  <c r="G77" i="4" s="1"/>
  <c r="I12" i="7" s="1"/>
  <c r="H38" i="4"/>
  <c r="H75" i="4" s="1"/>
  <c r="I33" i="7"/>
  <c r="H15" i="4"/>
  <c r="H73" i="4" s="1"/>
  <c r="I15" i="4"/>
  <c r="I73" i="4" s="1"/>
  <c r="K9" i="7"/>
  <c r="K23" i="7" s="1"/>
  <c r="J9" i="7"/>
  <c r="J23" i="7" s="1"/>
  <c r="J33" i="7" s="1"/>
  <c r="R82" i="4"/>
  <c r="R87" i="4" s="1"/>
  <c r="T27" i="7" s="1"/>
  <c r="E55" i="7"/>
  <c r="E56" i="7" s="1"/>
  <c r="F28" i="7"/>
  <c r="F29" i="7" s="1"/>
  <c r="F35" i="7" s="1"/>
  <c r="F36" i="7" s="1"/>
  <c r="G28" i="7"/>
  <c r="H34" i="7"/>
  <c r="I11" i="7"/>
  <c r="H15" i="7"/>
  <c r="H17" i="7" s="1"/>
  <c r="H18" i="7" s="1"/>
  <c r="I16" i="7"/>
  <c r="I50" i="7"/>
  <c r="I53" i="7" s="1"/>
  <c r="T67" i="4"/>
  <c r="T84" i="4" s="1"/>
  <c r="T83" i="4"/>
  <c r="S84" i="4"/>
  <c r="T86" i="4"/>
  <c r="AA24" i="6"/>
  <c r="AA48" i="7" s="1"/>
  <c r="J85" i="6"/>
  <c r="AC52" i="6"/>
  <c r="AC90" i="6" s="1"/>
  <c r="AC71" i="6"/>
  <c r="U92" i="6"/>
  <c r="M59" i="6"/>
  <c r="M78" i="6"/>
  <c r="T74" i="6"/>
  <c r="T55" i="6"/>
  <c r="T93" i="6" s="1"/>
  <c r="K99" i="6"/>
  <c r="L60" i="6"/>
  <c r="L79" i="6"/>
  <c r="K65" i="6"/>
  <c r="K103" i="6" s="1"/>
  <c r="K84" i="6"/>
  <c r="R58" i="6"/>
  <c r="R96" i="6" s="1"/>
  <c r="R77" i="6"/>
  <c r="K64" i="6"/>
  <c r="K102" i="6" s="1"/>
  <c r="K83" i="6"/>
  <c r="M62" i="6"/>
  <c r="M100" i="6" s="1"/>
  <c r="M81" i="6"/>
  <c r="U75" i="6"/>
  <c r="U56" i="6"/>
  <c r="U94" i="6" s="1"/>
  <c r="J101" i="6"/>
  <c r="J66" i="6"/>
  <c r="J51" i="7" s="1"/>
  <c r="V76" i="6"/>
  <c r="V57" i="6"/>
  <c r="V95" i="6" s="1"/>
  <c r="N53" i="6"/>
  <c r="N72" i="6"/>
  <c r="X70" i="6"/>
  <c r="X51" i="6"/>
  <c r="G18" i="7"/>
  <c r="J30" i="3"/>
  <c r="I24" i="7"/>
  <c r="I25" i="7" s="1"/>
  <c r="I34" i="7" s="1"/>
  <c r="J10" i="7"/>
  <c r="R57" i="2"/>
  <c r="R65" i="2" s="1"/>
  <c r="S55" i="2"/>
  <c r="S82" i="4" s="1"/>
  <c r="V59" i="4"/>
  <c r="V61" i="4" s="1"/>
  <c r="U68" i="4"/>
  <c r="U66" i="4"/>
  <c r="U67" i="4" s="1"/>
  <c r="U65" i="4"/>
  <c r="U86" i="4" s="1"/>
  <c r="U64" i="4"/>
  <c r="U63" i="4"/>
  <c r="U62" i="4"/>
  <c r="T53" i="2"/>
  <c r="T54" i="2"/>
  <c r="T81" i="4" s="1"/>
  <c r="U47" i="2"/>
  <c r="T56" i="2"/>
  <c r="T52" i="2"/>
  <c r="T50" i="2"/>
  <c r="T51" i="2"/>
  <c r="T49" i="2"/>
  <c r="T69" i="4" l="1"/>
  <c r="T76" i="4" s="1"/>
  <c r="I15" i="7"/>
  <c r="I17" i="7" s="1"/>
  <c r="I18" i="7" s="1"/>
  <c r="H24" i="4"/>
  <c r="H74" i="4" s="1"/>
  <c r="H77" i="4" s="1"/>
  <c r="J12" i="7" s="1"/>
  <c r="I24" i="4"/>
  <c r="I74" i="4" s="1"/>
  <c r="I38" i="4"/>
  <c r="I75" i="4" s="1"/>
  <c r="J15" i="4"/>
  <c r="J73" i="4" s="1"/>
  <c r="K33" i="7"/>
  <c r="L9" i="7"/>
  <c r="L23" i="7" s="1"/>
  <c r="S57" i="2"/>
  <c r="S65" i="2" s="1"/>
  <c r="S87" i="4"/>
  <c r="U27" i="7" s="1"/>
  <c r="T85" i="4"/>
  <c r="F55" i="7"/>
  <c r="F56" i="7" s="1"/>
  <c r="J11" i="7"/>
  <c r="H19" i="7"/>
  <c r="J16" i="7"/>
  <c r="J50" i="7"/>
  <c r="J53" i="7" s="1"/>
  <c r="U84" i="4"/>
  <c r="U83" i="4"/>
  <c r="G19" i="7"/>
  <c r="G26" i="7"/>
  <c r="G29" i="7" s="1"/>
  <c r="H26" i="7"/>
  <c r="AB24" i="6"/>
  <c r="AB48" i="7" s="1"/>
  <c r="V73" i="6"/>
  <c r="V54" i="6"/>
  <c r="AD47" i="6"/>
  <c r="AD47" i="7" s="1"/>
  <c r="AD52" i="6"/>
  <c r="AD90" i="6" s="1"/>
  <c r="AD71" i="6"/>
  <c r="W57" i="6"/>
  <c r="W95" i="6" s="1"/>
  <c r="W76" i="6"/>
  <c r="V75" i="6"/>
  <c r="V56" i="6"/>
  <c r="V94" i="6" s="1"/>
  <c r="L61" i="6"/>
  <c r="L99" i="6" s="1"/>
  <c r="L80" i="6"/>
  <c r="S58" i="6"/>
  <c r="S96" i="6" s="1"/>
  <c r="S77" i="6"/>
  <c r="U74" i="6"/>
  <c r="U55" i="6"/>
  <c r="U93" i="6" s="1"/>
  <c r="M97" i="6"/>
  <c r="L98" i="6"/>
  <c r="K63" i="6"/>
  <c r="K82" i="6"/>
  <c r="K85" i="6" s="1"/>
  <c r="J104" i="6"/>
  <c r="N62" i="6"/>
  <c r="N100" i="6" s="1"/>
  <c r="N81" i="6"/>
  <c r="L64" i="6"/>
  <c r="L102" i="6" s="1"/>
  <c r="L83" i="6"/>
  <c r="L65" i="6"/>
  <c r="L103" i="6" s="1"/>
  <c r="L84" i="6"/>
  <c r="N91" i="6"/>
  <c r="X89" i="6"/>
  <c r="K30" i="3"/>
  <c r="J24" i="7"/>
  <c r="J25" i="7" s="1"/>
  <c r="K10" i="7"/>
  <c r="T55" i="2"/>
  <c r="T82" i="4" s="1"/>
  <c r="U69" i="4"/>
  <c r="U76" i="4" s="1"/>
  <c r="V68" i="4"/>
  <c r="V66" i="4"/>
  <c r="V64" i="4"/>
  <c r="V63" i="4"/>
  <c r="V62" i="4"/>
  <c r="V65" i="4"/>
  <c r="V86" i="4" s="1"/>
  <c r="W59" i="4"/>
  <c r="W61" i="4" s="1"/>
  <c r="U54" i="2"/>
  <c r="U81" i="4" s="1"/>
  <c r="U53" i="2"/>
  <c r="U56" i="2"/>
  <c r="U51" i="2"/>
  <c r="U49" i="2"/>
  <c r="U52" i="2"/>
  <c r="U50" i="2"/>
  <c r="V47" i="2"/>
  <c r="T87" i="4" l="1"/>
  <c r="V27" i="7" s="1"/>
  <c r="J24" i="4"/>
  <c r="J74" i="4" s="1"/>
  <c r="J15" i="7"/>
  <c r="J17" i="7" s="1"/>
  <c r="J18" i="7" s="1"/>
  <c r="I77" i="4"/>
  <c r="K12" i="7" s="1"/>
  <c r="J38" i="4"/>
  <c r="J75" i="4" s="1"/>
  <c r="K15" i="4"/>
  <c r="K73" i="4" s="1"/>
  <c r="L33" i="7"/>
  <c r="M9" i="7"/>
  <c r="M23" i="7" s="1"/>
  <c r="M33" i="7" s="1"/>
  <c r="U85" i="4"/>
  <c r="G55" i="7"/>
  <c r="H28" i="7"/>
  <c r="H29" i="7" s="1"/>
  <c r="I28" i="7"/>
  <c r="J34" i="7"/>
  <c r="K11" i="7"/>
  <c r="K50" i="7"/>
  <c r="K16" i="7"/>
  <c r="V67" i="4"/>
  <c r="V69" i="4" s="1"/>
  <c r="V76" i="4" s="1"/>
  <c r="V83" i="4"/>
  <c r="G35" i="7"/>
  <c r="G36" i="7" s="1"/>
  <c r="I26" i="7"/>
  <c r="I19" i="7"/>
  <c r="AC24" i="6"/>
  <c r="AC48" i="7" s="1"/>
  <c r="AE71" i="6"/>
  <c r="AE52" i="6"/>
  <c r="AE90" i="6" s="1"/>
  <c r="AE47" i="6"/>
  <c r="AE47" i="7" s="1"/>
  <c r="V92" i="6"/>
  <c r="AF47" i="6"/>
  <c r="AF47" i="7" s="1"/>
  <c r="M64" i="6"/>
  <c r="M102" i="6" s="1"/>
  <c r="M83" i="6"/>
  <c r="K101" i="6"/>
  <c r="K66" i="6"/>
  <c r="K51" i="7" s="1"/>
  <c r="M65" i="6"/>
  <c r="M103" i="6" s="1"/>
  <c r="M84" i="6"/>
  <c r="O62" i="6"/>
  <c r="O100" i="6" s="1"/>
  <c r="O81" i="6"/>
  <c r="N59" i="6"/>
  <c r="N78" i="6"/>
  <c r="M61" i="6"/>
  <c r="M99" i="6" s="1"/>
  <c r="M80" i="6"/>
  <c r="X57" i="6"/>
  <c r="X95" i="6" s="1"/>
  <c r="X76" i="6"/>
  <c r="M60" i="6"/>
  <c r="M79" i="6"/>
  <c r="V55" i="6"/>
  <c r="V93" i="6" s="1"/>
  <c r="V74" i="6"/>
  <c r="T58" i="6"/>
  <c r="T96" i="6" s="1"/>
  <c r="T77" i="6"/>
  <c r="W56" i="6"/>
  <c r="W94" i="6" s="1"/>
  <c r="W75" i="6"/>
  <c r="O53" i="6"/>
  <c r="O72" i="6"/>
  <c r="Y70" i="6"/>
  <c r="Y51" i="6"/>
  <c r="L30" i="3"/>
  <c r="K24" i="7"/>
  <c r="K25" i="7" s="1"/>
  <c r="T57" i="2"/>
  <c r="T65" i="2" s="1"/>
  <c r="L10" i="7"/>
  <c r="U55" i="2"/>
  <c r="U82" i="4" s="1"/>
  <c r="X59" i="4"/>
  <c r="X61" i="4" s="1"/>
  <c r="W68" i="4"/>
  <c r="W66" i="4"/>
  <c r="W64" i="4"/>
  <c r="W63" i="4"/>
  <c r="W62" i="4"/>
  <c r="W65" i="4"/>
  <c r="W86" i="4" s="1"/>
  <c r="V54" i="2"/>
  <c r="V81" i="4" s="1"/>
  <c r="V53" i="2"/>
  <c r="V56" i="2"/>
  <c r="V49" i="2"/>
  <c r="V52" i="2"/>
  <c r="V50" i="2"/>
  <c r="V51" i="2"/>
  <c r="W47" i="2"/>
  <c r="J77" i="4" l="1"/>
  <c r="L12" i="7" s="1"/>
  <c r="U87" i="4"/>
  <c r="W27" i="7" s="1"/>
  <c r="K24" i="4"/>
  <c r="K74" i="4" s="1"/>
  <c r="K38" i="4"/>
  <c r="K75" i="4" s="1"/>
  <c r="L15" i="4"/>
  <c r="L73" i="4" s="1"/>
  <c r="N9" i="7"/>
  <c r="N23" i="7" s="1"/>
  <c r="V85" i="4"/>
  <c r="K53" i="7"/>
  <c r="K34" i="7"/>
  <c r="I29" i="7"/>
  <c r="I35" i="7" s="1"/>
  <c r="I36" i="7" s="1"/>
  <c r="J28" i="7"/>
  <c r="K15" i="7"/>
  <c r="K17" i="7" s="1"/>
  <c r="L11" i="7"/>
  <c r="H35" i="7"/>
  <c r="H36" i="7" s="1"/>
  <c r="V84" i="4"/>
  <c r="W67" i="4"/>
  <c r="W84" i="4" s="1"/>
  <c r="W83" i="4"/>
  <c r="G56" i="7"/>
  <c r="J26" i="7"/>
  <c r="J19" i="7"/>
  <c r="AD24" i="6"/>
  <c r="AD48" i="7" s="1"/>
  <c r="AF52" i="6"/>
  <c r="AF90" i="6" s="1"/>
  <c r="AF71" i="6"/>
  <c r="W73" i="6"/>
  <c r="W54" i="6"/>
  <c r="Y57" i="6"/>
  <c r="Y95" i="6" s="1"/>
  <c r="Y76" i="6"/>
  <c r="U58" i="6"/>
  <c r="U96" i="6" s="1"/>
  <c r="U77" i="6"/>
  <c r="N97" i="6"/>
  <c r="N65" i="6"/>
  <c r="N103" i="6" s="1"/>
  <c r="N84" i="6"/>
  <c r="N64" i="6"/>
  <c r="N102" i="6" s="1"/>
  <c r="N83" i="6"/>
  <c r="M98" i="6"/>
  <c r="N61" i="6"/>
  <c r="N99" i="6" s="1"/>
  <c r="N80" i="6"/>
  <c r="X75" i="6"/>
  <c r="X56" i="6"/>
  <c r="X94" i="6" s="1"/>
  <c r="W55" i="6"/>
  <c r="W93" i="6" s="1"/>
  <c r="W74" i="6"/>
  <c r="P62" i="6"/>
  <c r="P100" i="6" s="1"/>
  <c r="P81" i="6"/>
  <c r="L63" i="6"/>
  <c r="L82" i="6"/>
  <c r="L85" i="6" s="1"/>
  <c r="K104" i="6"/>
  <c r="O91" i="6"/>
  <c r="Y89" i="6"/>
  <c r="M30" i="3"/>
  <c r="L24" i="7"/>
  <c r="L25" i="7" s="1"/>
  <c r="U57" i="2"/>
  <c r="U65" i="2" s="1"/>
  <c r="M10" i="7"/>
  <c r="V55" i="2"/>
  <c r="V82" i="4" s="1"/>
  <c r="Y59" i="4"/>
  <c r="Y61" i="4" s="1"/>
  <c r="X68" i="4"/>
  <c r="X66" i="4"/>
  <c r="X65" i="4"/>
  <c r="X64" i="4"/>
  <c r="X63" i="4"/>
  <c r="X62" i="4"/>
  <c r="W54" i="2"/>
  <c r="W81" i="4" s="1"/>
  <c r="W53" i="2"/>
  <c r="W85" i="4" s="1"/>
  <c r="W56" i="2"/>
  <c r="W50" i="2"/>
  <c r="W51" i="2"/>
  <c r="W52" i="2"/>
  <c r="W49" i="2"/>
  <c r="X47" i="2"/>
  <c r="L15" i="7" l="1"/>
  <c r="W69" i="4"/>
  <c r="W76" i="4" s="1"/>
  <c r="V87" i="4"/>
  <c r="X27" i="7" s="1"/>
  <c r="K77" i="4"/>
  <c r="M12" i="7" s="1"/>
  <c r="L24" i="4"/>
  <c r="L74" i="4" s="1"/>
  <c r="L38" i="4"/>
  <c r="L75" i="4" s="1"/>
  <c r="N33" i="7"/>
  <c r="M15" i="4"/>
  <c r="M73" i="4" s="1"/>
  <c r="O9" i="7"/>
  <c r="O23" i="7" s="1"/>
  <c r="O33" i="7" s="1"/>
  <c r="H55" i="7"/>
  <c r="H56" i="7" s="1"/>
  <c r="J29" i="7"/>
  <c r="J35" i="7" s="1"/>
  <c r="J36" i="7" s="1"/>
  <c r="K28" i="7"/>
  <c r="M11" i="7"/>
  <c r="L34" i="7"/>
  <c r="L16" i="7"/>
  <c r="L17" i="7" s="1"/>
  <c r="L50" i="7"/>
  <c r="X67" i="4"/>
  <c r="X84" i="4" s="1"/>
  <c r="X83" i="4"/>
  <c r="X86" i="4"/>
  <c r="AE24" i="6"/>
  <c r="AE48" i="7" s="1"/>
  <c r="AG71" i="6"/>
  <c r="AG52" i="6"/>
  <c r="AG90" i="6" s="1"/>
  <c r="W92" i="6"/>
  <c r="AG47" i="6"/>
  <c r="AG47" i="7" s="1"/>
  <c r="Q62" i="6"/>
  <c r="Q100" i="6" s="1"/>
  <c r="Q81" i="6"/>
  <c r="N60" i="6"/>
  <c r="N79" i="6"/>
  <c r="O65" i="6"/>
  <c r="O103" i="6" s="1"/>
  <c r="O84" i="6"/>
  <c r="L101" i="6"/>
  <c r="L66" i="6"/>
  <c r="L51" i="7" s="1"/>
  <c r="X55" i="6"/>
  <c r="X93" i="6" s="1"/>
  <c r="X74" i="6"/>
  <c r="O61" i="6"/>
  <c r="O99" i="6" s="1"/>
  <c r="O80" i="6"/>
  <c r="V58" i="6"/>
  <c r="V96" i="6" s="1"/>
  <c r="V77" i="6"/>
  <c r="Y75" i="6"/>
  <c r="Y56" i="6"/>
  <c r="Y94" i="6" s="1"/>
  <c r="O64" i="6"/>
  <c r="O102" i="6" s="1"/>
  <c r="O83" i="6"/>
  <c r="O59" i="6"/>
  <c r="O78" i="6"/>
  <c r="Z76" i="6"/>
  <c r="Z57" i="6"/>
  <c r="Z95" i="6" s="1"/>
  <c r="P53" i="6"/>
  <c r="P72" i="6"/>
  <c r="Z70" i="6"/>
  <c r="Z51" i="6"/>
  <c r="V57" i="2"/>
  <c r="V65" i="2" s="1"/>
  <c r="M24" i="7"/>
  <c r="N10" i="7"/>
  <c r="W55" i="2"/>
  <c r="W82" i="4" s="1"/>
  <c r="W87" i="4" s="1"/>
  <c r="Y27" i="7" s="1"/>
  <c r="Y68" i="4"/>
  <c r="Y66" i="4"/>
  <c r="Y65" i="4"/>
  <c r="Y86" i="4" s="1"/>
  <c r="Y64" i="4"/>
  <c r="Y63" i="4"/>
  <c r="Y62" i="4"/>
  <c r="Z59" i="4"/>
  <c r="Z61" i="4" s="1"/>
  <c r="X53" i="2"/>
  <c r="X54" i="2"/>
  <c r="X81" i="4" s="1"/>
  <c r="X56" i="2"/>
  <c r="X49" i="2"/>
  <c r="X51" i="2"/>
  <c r="X52" i="2"/>
  <c r="X50" i="2"/>
  <c r="Y47" i="2"/>
  <c r="L77" i="4" l="1"/>
  <c r="N12" i="7" s="1"/>
  <c r="M24" i="4"/>
  <c r="M74" i="4" s="1"/>
  <c r="M38" i="4"/>
  <c r="M75" i="4" s="1"/>
  <c r="D22" i="10"/>
  <c r="X69" i="4"/>
  <c r="X76" i="4" s="1"/>
  <c r="X85" i="4"/>
  <c r="I55" i="7"/>
  <c r="I56" i="7" s="1"/>
  <c r="L53" i="7"/>
  <c r="N11" i="7"/>
  <c r="M15" i="7"/>
  <c r="Y67" i="4"/>
  <c r="Y84" i="4" s="1"/>
  <c r="Y83" i="4"/>
  <c r="AF24" i="6"/>
  <c r="AF48" i="7" s="1"/>
  <c r="N30" i="3"/>
  <c r="D9" i="10"/>
  <c r="K18" i="7"/>
  <c r="AH71" i="6"/>
  <c r="AH52" i="6"/>
  <c r="AH90" i="6" s="1"/>
  <c r="AH47" i="6"/>
  <c r="AH47" i="7" s="1"/>
  <c r="X73" i="6"/>
  <c r="X54" i="6"/>
  <c r="AA57" i="6"/>
  <c r="AA95" i="6" s="1"/>
  <c r="AA76" i="6"/>
  <c r="O97" i="6"/>
  <c r="P80" i="6"/>
  <c r="P61" i="6"/>
  <c r="P99" i="6" s="1"/>
  <c r="M63" i="6"/>
  <c r="M82" i="6"/>
  <c r="M85" i="6" s="1"/>
  <c r="L104" i="6"/>
  <c r="L18" i="7"/>
  <c r="N98" i="6"/>
  <c r="P64" i="6"/>
  <c r="P102" i="6" s="1"/>
  <c r="P83" i="6"/>
  <c r="W77" i="6"/>
  <c r="W58" i="6"/>
  <c r="W96" i="6" s="1"/>
  <c r="Y74" i="6"/>
  <c r="Y55" i="6"/>
  <c r="Y93" i="6" s="1"/>
  <c r="P65" i="6"/>
  <c r="P103" i="6" s="1"/>
  <c r="P84" i="6"/>
  <c r="Z56" i="6"/>
  <c r="Z94" i="6" s="1"/>
  <c r="Z75" i="6"/>
  <c r="R62" i="6"/>
  <c r="R100" i="6" s="1"/>
  <c r="R81" i="6"/>
  <c r="P91" i="6"/>
  <c r="Z89" i="6"/>
  <c r="W57" i="2"/>
  <c r="W65" i="2" s="1"/>
  <c r="M25" i="7"/>
  <c r="M34" i="7" s="1"/>
  <c r="N24" i="7"/>
  <c r="N25" i="7" s="1"/>
  <c r="X55" i="2"/>
  <c r="X82" i="4" s="1"/>
  <c r="Z65" i="4"/>
  <c r="Z63" i="4"/>
  <c r="Z62" i="4"/>
  <c r="Z68" i="4"/>
  <c r="Z66" i="4"/>
  <c r="Z64" i="4"/>
  <c r="AA59" i="4"/>
  <c r="AA61" i="4" s="1"/>
  <c r="Y54" i="2"/>
  <c r="Y81" i="4" s="1"/>
  <c r="Y53" i="2"/>
  <c r="Y85" i="4" s="1"/>
  <c r="Y56" i="2"/>
  <c r="Y51" i="2"/>
  <c r="Y49" i="2"/>
  <c r="Y52" i="2"/>
  <c r="Y50" i="2"/>
  <c r="Z47" i="2"/>
  <c r="X87" i="4" l="1"/>
  <c r="Z27" i="7" s="1"/>
  <c r="M77" i="4"/>
  <c r="O12" i="7" s="1"/>
  <c r="D12" i="10" s="1"/>
  <c r="N15" i="7"/>
  <c r="N38" i="4"/>
  <c r="N75" i="4" s="1"/>
  <c r="N15" i="4"/>
  <c r="N73" i="4" s="1"/>
  <c r="P9" i="7"/>
  <c r="P23" i="7" s="1"/>
  <c r="Y69" i="4"/>
  <c r="Y76" i="4" s="1"/>
  <c r="J55" i="7"/>
  <c r="J56" i="7" s="1"/>
  <c r="N34" i="7"/>
  <c r="M50" i="7"/>
  <c r="M16" i="7"/>
  <c r="M17" i="7" s="1"/>
  <c r="Z86" i="4"/>
  <c r="Z67" i="4"/>
  <c r="Z69" i="4" s="1"/>
  <c r="Z76" i="4" s="1"/>
  <c r="Z83" i="4"/>
  <c r="K19" i="7"/>
  <c r="K26" i="7"/>
  <c r="K29" i="7" s="1"/>
  <c r="K35" i="7" s="1"/>
  <c r="K36" i="7" s="1"/>
  <c r="L26" i="7"/>
  <c r="L19" i="7"/>
  <c r="O10" i="7"/>
  <c r="O24" i="7" s="1"/>
  <c r="D23" i="10" s="1"/>
  <c r="AG24" i="6"/>
  <c r="AG48" i="7" s="1"/>
  <c r="AI47" i="6"/>
  <c r="AI47" i="7" s="1"/>
  <c r="AI71" i="6"/>
  <c r="AI52" i="6"/>
  <c r="AI90" i="6" s="1"/>
  <c r="X92" i="6"/>
  <c r="S62" i="6"/>
  <c r="S100" i="6" s="1"/>
  <c r="S81" i="6"/>
  <c r="Q65" i="6"/>
  <c r="Q103" i="6" s="1"/>
  <c r="Q84" i="6"/>
  <c r="O60" i="6"/>
  <c r="O79" i="6"/>
  <c r="Z74" i="6"/>
  <c r="Z55" i="6"/>
  <c r="Z93" i="6" s="1"/>
  <c r="M101" i="6"/>
  <c r="M66" i="6"/>
  <c r="M51" i="7" s="1"/>
  <c r="P59" i="6"/>
  <c r="P78" i="6"/>
  <c r="AA56" i="6"/>
  <c r="AA94" i="6" s="1"/>
  <c r="AA75" i="6"/>
  <c r="Q64" i="6"/>
  <c r="Q102" i="6" s="1"/>
  <c r="Q83" i="6"/>
  <c r="Q61" i="6"/>
  <c r="Q99" i="6" s="1"/>
  <c r="Q80" i="6"/>
  <c r="X58" i="6"/>
  <c r="X96" i="6" s="1"/>
  <c r="X77" i="6"/>
  <c r="AB57" i="6"/>
  <c r="AB95" i="6" s="1"/>
  <c r="AB76" i="6"/>
  <c r="Q53" i="6"/>
  <c r="Q72" i="6"/>
  <c r="AA70" i="6"/>
  <c r="AA51" i="6"/>
  <c r="P30" i="3"/>
  <c r="X57" i="2"/>
  <c r="X65" i="2" s="1"/>
  <c r="P10" i="7"/>
  <c r="Y55" i="2"/>
  <c r="Y82" i="4" s="1"/>
  <c r="Y87" i="4" s="1"/>
  <c r="AA27" i="7" s="1"/>
  <c r="AB59" i="4"/>
  <c r="AB61" i="4" s="1"/>
  <c r="AA65" i="4"/>
  <c r="AA63" i="4"/>
  <c r="AA62" i="4"/>
  <c r="AA68" i="4"/>
  <c r="AA66" i="4"/>
  <c r="AA67" i="4" s="1"/>
  <c r="AA64" i="4"/>
  <c r="Z53" i="2"/>
  <c r="Z54" i="2"/>
  <c r="AA47" i="2"/>
  <c r="Z56" i="2"/>
  <c r="Z49" i="2"/>
  <c r="Z50" i="2"/>
  <c r="Z52" i="2"/>
  <c r="Z51" i="2"/>
  <c r="P33" i="7" l="1"/>
  <c r="N24" i="4"/>
  <c r="N74" i="4" s="1"/>
  <c r="N77" i="4" s="1"/>
  <c r="P12" i="7" s="1"/>
  <c r="P15" i="4"/>
  <c r="P73" i="4" s="1"/>
  <c r="R9" i="7"/>
  <c r="R23" i="7" s="1"/>
  <c r="Z85" i="4"/>
  <c r="Z81" i="4"/>
  <c r="K55" i="7"/>
  <c r="K56" i="7" s="1"/>
  <c r="L28" i="7"/>
  <c r="L29" i="7" s="1"/>
  <c r="L35" i="7" s="1"/>
  <c r="L36" i="7" s="1"/>
  <c r="M28" i="7"/>
  <c r="M53" i="7"/>
  <c r="P11" i="7"/>
  <c r="O11" i="7"/>
  <c r="D10" i="10"/>
  <c r="D60" i="7" s="1"/>
  <c r="AA83" i="4"/>
  <c r="E26" i="10"/>
  <c r="Z84" i="4"/>
  <c r="AA84" i="4"/>
  <c r="AA86" i="4"/>
  <c r="O30" i="3"/>
  <c r="AH24" i="6"/>
  <c r="AH48" i="7" s="1"/>
  <c r="AK47" i="6"/>
  <c r="AK47" i="7" s="1"/>
  <c r="AJ52" i="6"/>
  <c r="AJ90" i="6" s="1"/>
  <c r="AJ71" i="6"/>
  <c r="Y54" i="6"/>
  <c r="Y73" i="6"/>
  <c r="AJ47" i="6"/>
  <c r="AJ47" i="7" s="1"/>
  <c r="M18" i="7"/>
  <c r="R61" i="6"/>
  <c r="R99" i="6" s="1"/>
  <c r="R80" i="6"/>
  <c r="AA55" i="6"/>
  <c r="AA93" i="6" s="1"/>
  <c r="AA74" i="6"/>
  <c r="AC57" i="6"/>
  <c r="AC95" i="6" s="1"/>
  <c r="AC76" i="6"/>
  <c r="P97" i="6"/>
  <c r="R65" i="6"/>
  <c r="R103" i="6" s="1"/>
  <c r="R84" i="6"/>
  <c r="Y58" i="6"/>
  <c r="Y96" i="6" s="1"/>
  <c r="Y77" i="6"/>
  <c r="R64" i="6"/>
  <c r="R102" i="6" s="1"/>
  <c r="R83" i="6"/>
  <c r="AB56" i="6"/>
  <c r="AB94" i="6" s="1"/>
  <c r="AB75" i="6"/>
  <c r="N63" i="6"/>
  <c r="N82" i="6"/>
  <c r="N85" i="6" s="1"/>
  <c r="M104" i="6"/>
  <c r="O98" i="6"/>
  <c r="T62" i="6"/>
  <c r="T100" i="6" s="1"/>
  <c r="T81" i="6"/>
  <c r="Q91" i="6"/>
  <c r="AA89" i="6"/>
  <c r="O25" i="7"/>
  <c r="D24" i="10" s="1"/>
  <c r="P24" i="7"/>
  <c r="P25" i="7" s="1"/>
  <c r="Y57" i="2"/>
  <c r="Y65" i="2" s="1"/>
  <c r="Q10" i="7"/>
  <c r="Z55" i="2"/>
  <c r="AB68" i="4"/>
  <c r="AB66" i="4"/>
  <c r="AB65" i="4"/>
  <c r="AB64" i="4"/>
  <c r="AB63" i="4"/>
  <c r="AB62" i="4"/>
  <c r="AA69" i="4"/>
  <c r="AA76" i="4" s="1"/>
  <c r="AC59" i="4"/>
  <c r="AC61" i="4" s="1"/>
  <c r="AA54" i="2"/>
  <c r="AA53" i="2"/>
  <c r="AA85" i="4" s="1"/>
  <c r="AA56" i="2"/>
  <c r="AA50" i="2"/>
  <c r="AA51" i="2"/>
  <c r="AA49" i="2"/>
  <c r="AA52" i="2"/>
  <c r="AB47" i="2"/>
  <c r="O38" i="4" l="1"/>
  <c r="O75" i="4" s="1"/>
  <c r="P24" i="4"/>
  <c r="P74" i="4" s="1"/>
  <c r="P38" i="4"/>
  <c r="P75" i="4" s="1"/>
  <c r="O15" i="4"/>
  <c r="O73" i="4" s="1"/>
  <c r="Q9" i="7"/>
  <c r="Q23" i="7" s="1"/>
  <c r="Q33" i="7" s="1"/>
  <c r="AA81" i="4"/>
  <c r="Z82" i="4"/>
  <c r="Z87" i="4" s="1"/>
  <c r="AB27" i="7" s="1"/>
  <c r="L55" i="7"/>
  <c r="L56" i="7" s="1"/>
  <c r="O34" i="7"/>
  <c r="O15" i="7"/>
  <c r="D15" i="10" s="1"/>
  <c r="D31" i="10" s="1"/>
  <c r="D11" i="10"/>
  <c r="B3" i="8" s="1"/>
  <c r="P34" i="7"/>
  <c r="P15" i="7"/>
  <c r="N16" i="7"/>
  <c r="N17" i="7" s="1"/>
  <c r="N50" i="7"/>
  <c r="AB67" i="4"/>
  <c r="AB69" i="4" s="1"/>
  <c r="AB76" i="4" s="1"/>
  <c r="AB83" i="4"/>
  <c r="AB86" i="4"/>
  <c r="M26" i="7"/>
  <c r="M19" i="7"/>
  <c r="N28" i="7" s="1"/>
  <c r="Z57" i="2"/>
  <c r="Z65" i="2" s="1"/>
  <c r="Q30" i="3"/>
  <c r="AI24" i="6"/>
  <c r="AI48" i="7" s="1"/>
  <c r="AK52" i="6"/>
  <c r="AK90" i="6" s="1"/>
  <c r="AK71" i="6"/>
  <c r="Y92" i="6"/>
  <c r="AL47" i="6"/>
  <c r="AL47" i="7" s="1"/>
  <c r="U62" i="6"/>
  <c r="U100" i="6" s="1"/>
  <c r="U81" i="6"/>
  <c r="N101" i="6"/>
  <c r="N66" i="6"/>
  <c r="N51" i="7" s="1"/>
  <c r="S83" i="6"/>
  <c r="S64" i="6"/>
  <c r="S102" i="6" s="1"/>
  <c r="S65" i="6"/>
  <c r="S103" i="6" s="1"/>
  <c r="S84" i="6"/>
  <c r="AD76" i="6"/>
  <c r="AD57" i="6"/>
  <c r="AD95" i="6" s="1"/>
  <c r="P60" i="6"/>
  <c r="P79" i="6"/>
  <c r="S80" i="6"/>
  <c r="S61" i="6"/>
  <c r="S99" i="6" s="1"/>
  <c r="AC56" i="6"/>
  <c r="AC94" i="6" s="1"/>
  <c r="AC75" i="6"/>
  <c r="Z58" i="6"/>
  <c r="Z96" i="6" s="1"/>
  <c r="Z77" i="6"/>
  <c r="Q59" i="6"/>
  <c r="Q78" i="6"/>
  <c r="AB74" i="6"/>
  <c r="AB55" i="6"/>
  <c r="AB93" i="6" s="1"/>
  <c r="R53" i="6"/>
  <c r="R72" i="6"/>
  <c r="AB70" i="6"/>
  <c r="AB51" i="6"/>
  <c r="AB89" i="6" s="1"/>
  <c r="Q24" i="7"/>
  <c r="Q25" i="7" s="1"/>
  <c r="R10" i="7"/>
  <c r="AA55" i="2"/>
  <c r="AC68" i="4"/>
  <c r="AC66" i="4"/>
  <c r="AC65" i="4"/>
  <c r="AC86" i="4" s="1"/>
  <c r="AC64" i="4"/>
  <c r="AC63" i="4"/>
  <c r="AC62" i="4"/>
  <c r="AD59" i="4"/>
  <c r="AD61" i="4" s="1"/>
  <c r="AB53" i="2"/>
  <c r="AB54" i="2"/>
  <c r="AC47" i="2"/>
  <c r="AB56" i="2"/>
  <c r="AB52" i="2"/>
  <c r="AB50" i="2"/>
  <c r="AB51" i="2"/>
  <c r="AB49" i="2"/>
  <c r="O24" i="4" l="1"/>
  <c r="O74" i="4" s="1"/>
  <c r="O77" i="4" s="1"/>
  <c r="Q12" i="7" s="1"/>
  <c r="Q11" i="7"/>
  <c r="R33" i="7"/>
  <c r="Q38" i="4"/>
  <c r="Q75" i="4" s="1"/>
  <c r="P77" i="4"/>
  <c r="R12" i="7" s="1"/>
  <c r="Q15" i="4"/>
  <c r="Q73" i="4" s="1"/>
  <c r="S9" i="7"/>
  <c r="S23" i="7" s="1"/>
  <c r="S33" i="7" s="1"/>
  <c r="AB85" i="4"/>
  <c r="AA82" i="4"/>
  <c r="AA87" i="4" s="1"/>
  <c r="AC27" i="7" s="1"/>
  <c r="AB81" i="4"/>
  <c r="B6" i="8"/>
  <c r="M55" i="7"/>
  <c r="N53" i="7"/>
  <c r="B4" i="8"/>
  <c r="M29" i="7"/>
  <c r="M35" i="7" s="1"/>
  <c r="M36" i="7" s="1"/>
  <c r="Q34" i="7"/>
  <c r="R11" i="7"/>
  <c r="AB84" i="4"/>
  <c r="AC67" i="4"/>
  <c r="AC69" i="4" s="1"/>
  <c r="AC76" i="4" s="1"/>
  <c r="AC83" i="4"/>
  <c r="AA57" i="2"/>
  <c r="AA65" i="2" s="1"/>
  <c r="AJ24" i="6"/>
  <c r="AJ48" i="7" s="1"/>
  <c r="N18" i="7"/>
  <c r="Z54" i="6"/>
  <c r="Z92" i="6" s="1"/>
  <c r="Z73" i="6"/>
  <c r="AL52" i="6"/>
  <c r="AL90" i="6" s="1"/>
  <c r="AL71" i="6"/>
  <c r="AA58" i="6"/>
  <c r="AA96" i="6" s="1"/>
  <c r="AA77" i="6"/>
  <c r="T61" i="6"/>
  <c r="T99" i="6" s="1"/>
  <c r="T80" i="6"/>
  <c r="AC55" i="6"/>
  <c r="AC93" i="6" s="1"/>
  <c r="AC74" i="6"/>
  <c r="Q97" i="6"/>
  <c r="AD56" i="6"/>
  <c r="AD94" i="6" s="1"/>
  <c r="AD75" i="6"/>
  <c r="P98" i="6"/>
  <c r="T65" i="6"/>
  <c r="T103" i="6" s="1"/>
  <c r="T84" i="6"/>
  <c r="O63" i="6"/>
  <c r="O82" i="6"/>
  <c r="O85" i="6" s="1"/>
  <c r="N104" i="6"/>
  <c r="AE57" i="6"/>
  <c r="AE95" i="6" s="1"/>
  <c r="AE76" i="6"/>
  <c r="T83" i="6"/>
  <c r="T64" i="6"/>
  <c r="T102" i="6" s="1"/>
  <c r="V62" i="6"/>
  <c r="V100" i="6" s="1"/>
  <c r="V81" i="6"/>
  <c r="R91" i="6"/>
  <c r="S30" i="3"/>
  <c r="R24" i="7"/>
  <c r="R25" i="7" s="1"/>
  <c r="S10" i="7"/>
  <c r="AB55" i="2"/>
  <c r="AB57" i="2" s="1"/>
  <c r="AB65" i="2" s="1"/>
  <c r="AD68" i="4"/>
  <c r="AD66" i="4"/>
  <c r="AD64" i="4"/>
  <c r="AD63" i="4"/>
  <c r="AD62" i="4"/>
  <c r="AD65" i="4"/>
  <c r="AE59" i="4"/>
  <c r="AE61" i="4" s="1"/>
  <c r="AC54" i="2"/>
  <c r="AC81" i="4" s="1"/>
  <c r="AC53" i="2"/>
  <c r="AC85" i="4" s="1"/>
  <c r="AC56" i="2"/>
  <c r="AC51" i="2"/>
  <c r="AC49" i="2"/>
  <c r="AC52" i="2"/>
  <c r="AC50" i="2"/>
  <c r="AD47" i="2"/>
  <c r="Q15" i="7" l="1"/>
  <c r="Q24" i="4"/>
  <c r="Q74" i="4" s="1"/>
  <c r="Q77" i="4" s="1"/>
  <c r="S12" i="7" s="1"/>
  <c r="S15" i="4"/>
  <c r="S73" i="4" s="1"/>
  <c r="U9" i="7"/>
  <c r="U23" i="7" s="1"/>
  <c r="AB82" i="4"/>
  <c r="AB87" i="4" s="1"/>
  <c r="AD27" i="7" s="1"/>
  <c r="M56" i="7"/>
  <c r="N55" i="7" s="1"/>
  <c r="R34" i="7"/>
  <c r="S11" i="7"/>
  <c r="R15" i="7"/>
  <c r="O50" i="7"/>
  <c r="O16" i="7"/>
  <c r="AD86" i="4"/>
  <c r="AD83" i="4"/>
  <c r="AC84" i="4"/>
  <c r="AD67" i="4"/>
  <c r="AD69" i="4" s="1"/>
  <c r="AD76" i="4" s="1"/>
  <c r="N26" i="7"/>
  <c r="N19" i="7"/>
  <c r="O28" i="7" s="1"/>
  <c r="D27" i="10" s="1"/>
  <c r="R30" i="3"/>
  <c r="AK24" i="6"/>
  <c r="AK48" i="7" s="1"/>
  <c r="AN47" i="6"/>
  <c r="AN47" i="7" s="1"/>
  <c r="AM52" i="6"/>
  <c r="AM90" i="6" s="1"/>
  <c r="AM71" i="6"/>
  <c r="AM47" i="6"/>
  <c r="AM47" i="7" s="1"/>
  <c r="AA73" i="6"/>
  <c r="AA54" i="6"/>
  <c r="AA92" i="6" s="1"/>
  <c r="W81" i="6"/>
  <c r="W62" i="6"/>
  <c r="W100" i="6" s="1"/>
  <c r="AF57" i="6"/>
  <c r="AF95" i="6" s="1"/>
  <c r="AF76" i="6"/>
  <c r="O101" i="6"/>
  <c r="O66" i="6"/>
  <c r="O51" i="7" s="1"/>
  <c r="Q60" i="6"/>
  <c r="Q79" i="6"/>
  <c r="R59" i="6"/>
  <c r="R78" i="6"/>
  <c r="U80" i="6"/>
  <c r="U61" i="6"/>
  <c r="U99" i="6" s="1"/>
  <c r="U83" i="6"/>
  <c r="U64" i="6"/>
  <c r="U102" i="6" s="1"/>
  <c r="U65" i="6"/>
  <c r="U103" i="6" s="1"/>
  <c r="U84" i="6"/>
  <c r="AE75" i="6"/>
  <c r="AE56" i="6"/>
  <c r="AE94" i="6" s="1"/>
  <c r="AD55" i="6"/>
  <c r="AD93" i="6" s="1"/>
  <c r="AD74" i="6"/>
  <c r="AB77" i="6"/>
  <c r="AB58" i="6"/>
  <c r="AB96" i="6" s="1"/>
  <c r="S72" i="6"/>
  <c r="S53" i="6"/>
  <c r="AC70" i="6"/>
  <c r="AC51" i="6"/>
  <c r="T30" i="3"/>
  <c r="S24" i="7"/>
  <c r="S25" i="7" s="1"/>
  <c r="T10" i="7"/>
  <c r="AC55" i="2"/>
  <c r="AE68" i="4"/>
  <c r="AE66" i="4"/>
  <c r="AE64" i="4"/>
  <c r="AE63" i="4"/>
  <c r="AE62" i="4"/>
  <c r="AE65" i="4"/>
  <c r="AE86" i="4" s="1"/>
  <c r="AF59" i="4"/>
  <c r="AF61" i="4" s="1"/>
  <c r="AD54" i="2"/>
  <c r="AD53" i="2"/>
  <c r="AD85" i="4" s="1"/>
  <c r="AD56" i="2"/>
  <c r="AD51" i="2"/>
  <c r="AD49" i="2"/>
  <c r="AD52" i="2"/>
  <c r="AD50" i="2"/>
  <c r="AE47" i="2"/>
  <c r="R38" i="4" l="1"/>
  <c r="R75" i="4" s="1"/>
  <c r="S15" i="7"/>
  <c r="S24" i="4"/>
  <c r="S74" i="4" s="1"/>
  <c r="S38" i="4"/>
  <c r="S75" i="4" s="1"/>
  <c r="T15" i="4"/>
  <c r="T73" i="4" s="1"/>
  <c r="R15" i="4"/>
  <c r="R73" i="4" s="1"/>
  <c r="V9" i="7"/>
  <c r="V23" i="7" s="1"/>
  <c r="V33" i="7" s="1"/>
  <c r="T9" i="7"/>
  <c r="T23" i="7" s="1"/>
  <c r="U33" i="7" s="1"/>
  <c r="AC82" i="4"/>
  <c r="AC87" i="4" s="1"/>
  <c r="AE27" i="7" s="1"/>
  <c r="AD81" i="4"/>
  <c r="O53" i="7"/>
  <c r="N29" i="7"/>
  <c r="N35" i="7" s="1"/>
  <c r="N36" i="7" s="1"/>
  <c r="N56" i="7" s="1"/>
  <c r="S34" i="7"/>
  <c r="D16" i="10"/>
  <c r="O17" i="7"/>
  <c r="D17" i="10" s="1"/>
  <c r="AE67" i="4"/>
  <c r="AE69" i="4" s="1"/>
  <c r="AE76" i="4" s="1"/>
  <c r="AE83" i="4"/>
  <c r="AD84" i="4"/>
  <c r="AC57" i="2"/>
  <c r="AC65" i="2" s="1"/>
  <c r="AL24" i="6"/>
  <c r="AL48" i="7" s="1"/>
  <c r="AB73" i="6"/>
  <c r="AB54" i="6"/>
  <c r="AB92" i="6" s="1"/>
  <c r="AN71" i="6"/>
  <c r="AN52" i="6"/>
  <c r="AN90" i="6" s="1"/>
  <c r="AO47" i="6"/>
  <c r="AO47" i="7" s="1"/>
  <c r="Q98" i="6"/>
  <c r="AG76" i="6"/>
  <c r="AG57" i="6"/>
  <c r="AG95" i="6" s="1"/>
  <c r="V61" i="6"/>
  <c r="V99" i="6" s="1"/>
  <c r="V80" i="6"/>
  <c r="R97" i="6"/>
  <c r="X62" i="6"/>
  <c r="X100" i="6" s="1"/>
  <c r="X81" i="6"/>
  <c r="AE74" i="6"/>
  <c r="AE55" i="6"/>
  <c r="AE93" i="6" s="1"/>
  <c r="V65" i="6"/>
  <c r="V103" i="6" s="1"/>
  <c r="V84" i="6"/>
  <c r="P63" i="6"/>
  <c r="P82" i="6"/>
  <c r="P85" i="6" s="1"/>
  <c r="O104" i="6"/>
  <c r="AC58" i="6"/>
  <c r="AC96" i="6" s="1"/>
  <c r="AC77" i="6"/>
  <c r="AF75" i="6"/>
  <c r="AF56" i="6"/>
  <c r="AF94" i="6" s="1"/>
  <c r="V64" i="6"/>
  <c r="V102" i="6" s="1"/>
  <c r="V83" i="6"/>
  <c r="S91" i="6"/>
  <c r="AC89" i="6"/>
  <c r="U30" i="3"/>
  <c r="T24" i="7"/>
  <c r="T25" i="7" s="1"/>
  <c r="T34" i="7" s="1"/>
  <c r="U10" i="7"/>
  <c r="AD55" i="2"/>
  <c r="AG59" i="4"/>
  <c r="AG61" i="4" s="1"/>
  <c r="AF68" i="4"/>
  <c r="AF66" i="4"/>
  <c r="AF65" i="4"/>
  <c r="AF64" i="4"/>
  <c r="AF63" i="4"/>
  <c r="AF62" i="4"/>
  <c r="AE54" i="2"/>
  <c r="AE81" i="4" s="1"/>
  <c r="AE53" i="2"/>
  <c r="AE85" i="4" s="1"/>
  <c r="AE56" i="2"/>
  <c r="AE50" i="2"/>
  <c r="AE49" i="2"/>
  <c r="AE52" i="2"/>
  <c r="AE51" i="2"/>
  <c r="AF47" i="2"/>
  <c r="D18" i="10" l="1"/>
  <c r="D19" i="10" s="1"/>
  <c r="S77" i="4"/>
  <c r="U12" i="7" s="1"/>
  <c r="T24" i="4"/>
  <c r="T74" i="4" s="1"/>
  <c r="T38" i="4"/>
  <c r="T75" i="4" s="1"/>
  <c r="R24" i="4"/>
  <c r="R74" i="4" s="1"/>
  <c r="R77" i="4" s="1"/>
  <c r="T12" i="7" s="1"/>
  <c r="U15" i="4"/>
  <c r="U73" i="4" s="1"/>
  <c r="W9" i="7"/>
  <c r="W23" i="7" s="1"/>
  <c r="W33" i="7" s="1"/>
  <c r="T11" i="7"/>
  <c r="AD57" i="2"/>
  <c r="AD65" i="2" s="1"/>
  <c r="AD82" i="4"/>
  <c r="AD87" i="4" s="1"/>
  <c r="AF27" i="7" s="1"/>
  <c r="T33" i="7"/>
  <c r="O55" i="7"/>
  <c r="U11" i="7"/>
  <c r="P16" i="7"/>
  <c r="P50" i="7"/>
  <c r="AE84" i="4"/>
  <c r="AF86" i="4"/>
  <c r="AF67" i="4"/>
  <c r="AF84" i="4" s="1"/>
  <c r="AF83" i="4"/>
  <c r="AM24" i="6"/>
  <c r="AM48" i="7" s="1"/>
  <c r="AO52" i="6"/>
  <c r="AO90" i="6" s="1"/>
  <c r="AO71" i="6"/>
  <c r="AP47" i="6"/>
  <c r="AP47" i="7" s="1"/>
  <c r="AC73" i="6"/>
  <c r="AC54" i="6"/>
  <c r="AC92" i="6" s="1"/>
  <c r="O18" i="7"/>
  <c r="P101" i="6"/>
  <c r="P66" i="6"/>
  <c r="P51" i="7" s="1"/>
  <c r="S59" i="6"/>
  <c r="S78" i="6"/>
  <c r="AH57" i="6"/>
  <c r="AH95" i="6" s="1"/>
  <c r="AH76" i="6"/>
  <c r="W64" i="6"/>
  <c r="W102" i="6" s="1"/>
  <c r="W83" i="6"/>
  <c r="AD77" i="6"/>
  <c r="AD58" i="6"/>
  <c r="AD96" i="6" s="1"/>
  <c r="W65" i="6"/>
  <c r="W103" i="6" s="1"/>
  <c r="W84" i="6"/>
  <c r="R60" i="6"/>
  <c r="R79" i="6"/>
  <c r="AG75" i="6"/>
  <c r="AG56" i="6"/>
  <c r="AG94" i="6" s="1"/>
  <c r="AF55" i="6"/>
  <c r="AF93" i="6" s="1"/>
  <c r="AF74" i="6"/>
  <c r="Y81" i="6"/>
  <c r="Y62" i="6"/>
  <c r="Y100" i="6" s="1"/>
  <c r="W61" i="6"/>
  <c r="W99" i="6" s="1"/>
  <c r="W80" i="6"/>
  <c r="T53" i="6"/>
  <c r="T72" i="6"/>
  <c r="AD51" i="6"/>
  <c r="AD70" i="6"/>
  <c r="U24" i="7"/>
  <c r="U25" i="7" s="1"/>
  <c r="V10" i="7"/>
  <c r="AE55" i="2"/>
  <c r="AE82" i="4" s="1"/>
  <c r="AG68" i="4"/>
  <c r="AG66" i="4"/>
  <c r="AG65" i="4"/>
  <c r="AG64" i="4"/>
  <c r="AG63" i="4"/>
  <c r="AG62" i="4"/>
  <c r="AH59" i="4"/>
  <c r="AH61" i="4" s="1"/>
  <c r="AF53" i="2"/>
  <c r="AF54" i="2"/>
  <c r="AF81" i="4" s="1"/>
  <c r="AG47" i="2"/>
  <c r="AF56" i="2"/>
  <c r="AF50" i="2"/>
  <c r="AF51" i="2"/>
  <c r="AF49" i="2"/>
  <c r="AF52" i="2"/>
  <c r="U15" i="7" l="1"/>
  <c r="U24" i="4"/>
  <c r="U74" i="4" s="1"/>
  <c r="T15" i="7"/>
  <c r="U38" i="4"/>
  <c r="U75" i="4" s="1"/>
  <c r="T77" i="4"/>
  <c r="V12" i="7" s="1"/>
  <c r="AE87" i="4"/>
  <c r="AG27" i="7" s="1"/>
  <c r="AF85" i="4"/>
  <c r="U34" i="7"/>
  <c r="V11" i="7"/>
  <c r="P17" i="7"/>
  <c r="P18" i="7" s="1"/>
  <c r="AF69" i="4"/>
  <c r="AF76" i="4" s="1"/>
  <c r="AG67" i="4"/>
  <c r="AG69" i="4" s="1"/>
  <c r="AG76" i="4" s="1"/>
  <c r="AG83" i="4"/>
  <c r="AG86" i="4"/>
  <c r="O26" i="7"/>
  <c r="D25" i="10" s="1"/>
  <c r="O19" i="7"/>
  <c r="AN24" i="6"/>
  <c r="AN48" i="7" s="1"/>
  <c r="AD73" i="6"/>
  <c r="AD54" i="6"/>
  <c r="AD92" i="6" s="1"/>
  <c r="AP52" i="6"/>
  <c r="AP90" i="6" s="1"/>
  <c r="AP71" i="6"/>
  <c r="AH75" i="6"/>
  <c r="AH56" i="6"/>
  <c r="AH94" i="6" s="1"/>
  <c r="R98" i="6"/>
  <c r="AI76" i="6"/>
  <c r="AI57" i="6"/>
  <c r="AI95" i="6" s="1"/>
  <c r="X61" i="6"/>
  <c r="X99" i="6" s="1"/>
  <c r="X80" i="6"/>
  <c r="AG74" i="6"/>
  <c r="AG55" i="6"/>
  <c r="AG93" i="6" s="1"/>
  <c r="Q63" i="6"/>
  <c r="Q82" i="6"/>
  <c r="Q85" i="6" s="1"/>
  <c r="P104" i="6"/>
  <c r="Z62" i="6"/>
  <c r="Z100" i="6" s="1"/>
  <c r="Z81" i="6"/>
  <c r="X65" i="6"/>
  <c r="X103" i="6" s="1"/>
  <c r="X84" i="6"/>
  <c r="X64" i="6"/>
  <c r="X102" i="6" s="1"/>
  <c r="X83" i="6"/>
  <c r="AE58" i="6"/>
  <c r="AE96" i="6" s="1"/>
  <c r="AE77" i="6"/>
  <c r="S97" i="6"/>
  <c r="T91" i="6"/>
  <c r="AD89" i="6"/>
  <c r="V24" i="7"/>
  <c r="V25" i="7" s="1"/>
  <c r="AE57" i="2"/>
  <c r="AE65" i="2" s="1"/>
  <c r="W10" i="7"/>
  <c r="AF55" i="2"/>
  <c r="AH65" i="4"/>
  <c r="AH86" i="4" s="1"/>
  <c r="AH63" i="4"/>
  <c r="AH62" i="4"/>
  <c r="AH68" i="4"/>
  <c r="AH66" i="4"/>
  <c r="AH64" i="4"/>
  <c r="AI59" i="4"/>
  <c r="AI61" i="4" s="1"/>
  <c r="AG54" i="2"/>
  <c r="AG81" i="4" s="1"/>
  <c r="AG53" i="2"/>
  <c r="AH47" i="2"/>
  <c r="AG56" i="2"/>
  <c r="AG51" i="2"/>
  <c r="AG49" i="2"/>
  <c r="AG52" i="2"/>
  <c r="AG50" i="2"/>
  <c r="U77" i="4" l="1"/>
  <c r="W12" i="7" s="1"/>
  <c r="V15" i="7"/>
  <c r="AG85" i="4"/>
  <c r="AF82" i="4"/>
  <c r="AF87" i="4" s="1"/>
  <c r="AH27" i="7" s="1"/>
  <c r="P53" i="7"/>
  <c r="P28" i="7"/>
  <c r="O29" i="7"/>
  <c r="D28" i="10" s="1"/>
  <c r="D33" i="10" s="1"/>
  <c r="V34" i="7"/>
  <c r="W11" i="7"/>
  <c r="Q50" i="7"/>
  <c r="Q16" i="7"/>
  <c r="AH67" i="4"/>
  <c r="AH84" i="4" s="1"/>
  <c r="AH83" i="4"/>
  <c r="AG84" i="4"/>
  <c r="P26" i="7"/>
  <c r="P19" i="7"/>
  <c r="V30" i="3"/>
  <c r="AO24" i="6"/>
  <c r="AO48" i="7" s="1"/>
  <c r="AR47" i="6"/>
  <c r="AR47" i="7" s="1"/>
  <c r="AQ52" i="6"/>
  <c r="AQ90" i="6" s="1"/>
  <c r="AQ71" i="6"/>
  <c r="AE54" i="6"/>
  <c r="AE92" i="6" s="1"/>
  <c r="AE73" i="6"/>
  <c r="AQ47" i="6"/>
  <c r="AQ47" i="7" s="1"/>
  <c r="AF77" i="6"/>
  <c r="AF58" i="6"/>
  <c r="AF96" i="6" s="1"/>
  <c r="Y64" i="6"/>
  <c r="Y102" i="6" s="1"/>
  <c r="Y83" i="6"/>
  <c r="Q101" i="6"/>
  <c r="Q66" i="6"/>
  <c r="Q51" i="7" s="1"/>
  <c r="Y80" i="6"/>
  <c r="Y61" i="6"/>
  <c r="Y99" i="6" s="1"/>
  <c r="S79" i="6"/>
  <c r="S60" i="6"/>
  <c r="T59" i="6"/>
  <c r="T78" i="6"/>
  <c r="Y65" i="6"/>
  <c r="Y103" i="6" s="1"/>
  <c r="Y84" i="6"/>
  <c r="AA62" i="6"/>
  <c r="AA100" i="6" s="1"/>
  <c r="AA81" i="6"/>
  <c r="AH55" i="6"/>
  <c r="AH93" i="6" s="1"/>
  <c r="AH74" i="6"/>
  <c r="AJ76" i="6"/>
  <c r="AJ57" i="6"/>
  <c r="AJ95" i="6" s="1"/>
  <c r="AI75" i="6"/>
  <c r="AI56" i="6"/>
  <c r="AI94" i="6" s="1"/>
  <c r="U72" i="6"/>
  <c r="U53" i="6"/>
  <c r="AE70" i="6"/>
  <c r="AE51" i="6"/>
  <c r="W24" i="7"/>
  <c r="W25" i="7" s="1"/>
  <c r="AF57" i="2"/>
  <c r="AF65" i="2" s="1"/>
  <c r="X10" i="7"/>
  <c r="AG55" i="2"/>
  <c r="AG82" i="4" s="1"/>
  <c r="AJ59" i="4"/>
  <c r="AJ61" i="4" s="1"/>
  <c r="AI65" i="4"/>
  <c r="AI63" i="4"/>
  <c r="AI62" i="4"/>
  <c r="AI68" i="4"/>
  <c r="AI66" i="4"/>
  <c r="AI64" i="4"/>
  <c r="AH53" i="2"/>
  <c r="AH54" i="2"/>
  <c r="AH81" i="4" s="1"/>
  <c r="AI47" i="2"/>
  <c r="AH56" i="2"/>
  <c r="AH49" i="2"/>
  <c r="AH50" i="2"/>
  <c r="AH52" i="2"/>
  <c r="AH51" i="2"/>
  <c r="V38" i="4" l="1"/>
  <c r="V75" i="4" s="1"/>
  <c r="V15" i="4"/>
  <c r="V73" i="4" s="1"/>
  <c r="X9" i="7"/>
  <c r="X23" i="7" s="1"/>
  <c r="X33" i="7" s="1"/>
  <c r="AG87" i="4"/>
  <c r="AI27" i="7" s="1"/>
  <c r="AH69" i="4"/>
  <c r="AH76" i="4" s="1"/>
  <c r="Q53" i="7"/>
  <c r="AH85" i="4"/>
  <c r="W34" i="7"/>
  <c r="Q28" i="7"/>
  <c r="P29" i="7"/>
  <c r="P35" i="7" s="1"/>
  <c r="P36" i="7" s="1"/>
  <c r="W15" i="7"/>
  <c r="B5" i="8"/>
  <c r="Q17" i="7"/>
  <c r="Q18" i="7" s="1"/>
  <c r="O35" i="7"/>
  <c r="O36" i="7" s="1"/>
  <c r="AI67" i="4"/>
  <c r="AI84" i="4" s="1"/>
  <c r="AI83" i="4"/>
  <c r="AI86" i="4"/>
  <c r="W30" i="3"/>
  <c r="AP24" i="6"/>
  <c r="AP48" i="7" s="1"/>
  <c r="X30" i="3"/>
  <c r="AR52" i="6"/>
  <c r="AR90" i="6" s="1"/>
  <c r="AR71" i="6"/>
  <c r="AF54" i="6"/>
  <c r="AF92" i="6" s="1"/>
  <c r="AF73" i="6"/>
  <c r="AS47" i="6"/>
  <c r="AS47" i="7" s="1"/>
  <c r="AK57" i="6"/>
  <c r="AK95" i="6" s="1"/>
  <c r="AK76" i="6"/>
  <c r="S98" i="6"/>
  <c r="AB62" i="6"/>
  <c r="AB100" i="6" s="1"/>
  <c r="AB81" i="6"/>
  <c r="R63" i="6"/>
  <c r="R82" i="6"/>
  <c r="R85" i="6" s="1"/>
  <c r="Q104" i="6"/>
  <c r="AJ56" i="6"/>
  <c r="AJ94" i="6" s="1"/>
  <c r="AJ75" i="6"/>
  <c r="T97" i="6"/>
  <c r="Z61" i="6"/>
  <c r="Z99" i="6" s="1"/>
  <c r="Z80" i="6"/>
  <c r="AG58" i="6"/>
  <c r="AG96" i="6" s="1"/>
  <c r="AG77" i="6"/>
  <c r="AI55" i="6"/>
  <c r="AI93" i="6" s="1"/>
  <c r="AI74" i="6"/>
  <c r="Z65" i="6"/>
  <c r="Z103" i="6" s="1"/>
  <c r="Z84" i="6"/>
  <c r="Z64" i="6"/>
  <c r="Z102" i="6" s="1"/>
  <c r="Z83" i="6"/>
  <c r="U91" i="6"/>
  <c r="AE89" i="6"/>
  <c r="Y30" i="3"/>
  <c r="X24" i="7"/>
  <c r="X25" i="7" s="1"/>
  <c r="AG57" i="2"/>
  <c r="AG65" i="2" s="1"/>
  <c r="Y10" i="7"/>
  <c r="AH55" i="2"/>
  <c r="AH82" i="4" s="1"/>
  <c r="AJ68" i="4"/>
  <c r="AJ66" i="4"/>
  <c r="AJ65" i="4"/>
  <c r="AJ86" i="4" s="1"/>
  <c r="AJ64" i="4"/>
  <c r="AJ63" i="4"/>
  <c r="AJ62" i="4"/>
  <c r="AK59" i="4"/>
  <c r="AK61" i="4" s="1"/>
  <c r="AI54" i="2"/>
  <c r="AI81" i="4" s="1"/>
  <c r="AI53" i="2"/>
  <c r="AI56" i="2"/>
  <c r="AI50" i="2"/>
  <c r="AI51" i="2"/>
  <c r="AI52" i="2"/>
  <c r="AI49" i="2"/>
  <c r="AJ47" i="2"/>
  <c r="W38" i="4" l="1"/>
  <c r="W75" i="4" s="1"/>
  <c r="V24" i="4"/>
  <c r="V74" i="4" s="1"/>
  <c r="V77" i="4" s="1"/>
  <c r="X12" i="7" s="1"/>
  <c r="X38" i="4"/>
  <c r="X75" i="4" s="1"/>
  <c r="X11" i="7"/>
  <c r="Y15" i="4"/>
  <c r="Y73" i="4" s="1"/>
  <c r="X15" i="4"/>
  <c r="X73" i="4" s="1"/>
  <c r="W15" i="4"/>
  <c r="W73" i="4" s="1"/>
  <c r="AA9" i="7"/>
  <c r="AA23" i="7" s="1"/>
  <c r="Z9" i="7"/>
  <c r="Y9" i="7"/>
  <c r="Y23" i="7" s="1"/>
  <c r="AH87" i="4"/>
  <c r="AJ27" i="7" s="1"/>
  <c r="AI69" i="4"/>
  <c r="AI76" i="4" s="1"/>
  <c r="AI85" i="4"/>
  <c r="X34" i="7"/>
  <c r="R50" i="7"/>
  <c r="R16" i="7"/>
  <c r="AJ67" i="4"/>
  <c r="AJ84" i="4" s="1"/>
  <c r="AJ83" i="4"/>
  <c r="Q19" i="7"/>
  <c r="Q26" i="7"/>
  <c r="Q29" i="7" s="1"/>
  <c r="AQ24" i="6"/>
  <c r="AQ48" i="7" s="1"/>
  <c r="AG73" i="6"/>
  <c r="AG54" i="6"/>
  <c r="AG92" i="6" s="1"/>
  <c r="AS52" i="6"/>
  <c r="AS90" i="6" s="1"/>
  <c r="AS71" i="6"/>
  <c r="U78" i="6"/>
  <c r="U59" i="6"/>
  <c r="O56" i="7"/>
  <c r="AJ55" i="6"/>
  <c r="AJ93" i="6" s="1"/>
  <c r="AJ74" i="6"/>
  <c r="AL57" i="6"/>
  <c r="AL95" i="6" s="1"/>
  <c r="AL76" i="6"/>
  <c r="AA80" i="6"/>
  <c r="AA61" i="6"/>
  <c r="AA99" i="6" s="1"/>
  <c r="AK56" i="6"/>
  <c r="AK94" i="6" s="1"/>
  <c r="AK75" i="6"/>
  <c r="AA64" i="6"/>
  <c r="AA102" i="6" s="1"/>
  <c r="AA83" i="6"/>
  <c r="AA65" i="6"/>
  <c r="AA103" i="6" s="1"/>
  <c r="AA84" i="6"/>
  <c r="AH77" i="6"/>
  <c r="AH58" i="6"/>
  <c r="AH96" i="6" s="1"/>
  <c r="R101" i="6"/>
  <c r="R66" i="6"/>
  <c r="R51" i="7" s="1"/>
  <c r="AC81" i="6"/>
  <c r="AC62" i="6"/>
  <c r="AC100" i="6" s="1"/>
  <c r="T60" i="6"/>
  <c r="T79" i="6"/>
  <c r="V53" i="6"/>
  <c r="V72" i="6"/>
  <c r="AF70" i="6"/>
  <c r="AF51" i="6"/>
  <c r="Y24" i="7"/>
  <c r="Y25" i="7" s="1"/>
  <c r="Z10" i="7"/>
  <c r="AI55" i="2"/>
  <c r="AI82" i="4" s="1"/>
  <c r="AH57" i="2"/>
  <c r="AH65" i="2" s="1"/>
  <c r="AK68" i="4"/>
  <c r="AK66" i="4"/>
  <c r="AK65" i="4"/>
  <c r="AK86" i="4" s="1"/>
  <c r="AK64" i="4"/>
  <c r="AK63" i="4"/>
  <c r="AK62" i="4"/>
  <c r="AL59" i="4"/>
  <c r="AL61" i="4" s="1"/>
  <c r="AJ53" i="2"/>
  <c r="AJ85" i="4" s="1"/>
  <c r="AJ54" i="2"/>
  <c r="AJ81" i="4" s="1"/>
  <c r="AK47" i="2"/>
  <c r="AJ56" i="2"/>
  <c r="AJ51" i="2"/>
  <c r="AJ52" i="2"/>
  <c r="AJ49" i="2"/>
  <c r="AJ50" i="2"/>
  <c r="W24" i="4" l="1"/>
  <c r="W74" i="4" s="1"/>
  <c r="W77" i="4" s="1"/>
  <c r="Y12" i="7" s="1"/>
  <c r="Y24" i="4"/>
  <c r="Y74" i="4" s="1"/>
  <c r="X15" i="7"/>
  <c r="Y38" i="4"/>
  <c r="Y75" i="4" s="1"/>
  <c r="E9" i="10"/>
  <c r="Z23" i="7"/>
  <c r="Z33" i="7" s="1"/>
  <c r="X24" i="4"/>
  <c r="X74" i="4" s="1"/>
  <c r="X77" i="4" s="1"/>
  <c r="Z12" i="7" s="1"/>
  <c r="Y11" i="7"/>
  <c r="Y33" i="7"/>
  <c r="AI87" i="4"/>
  <c r="AK27" i="7" s="1"/>
  <c r="AJ69" i="4"/>
  <c r="AJ76" i="4" s="1"/>
  <c r="P55" i="7"/>
  <c r="P56" i="7" s="1"/>
  <c r="Y34" i="7"/>
  <c r="R53" i="7"/>
  <c r="R28" i="7"/>
  <c r="Z11" i="7"/>
  <c r="R17" i="7"/>
  <c r="R18" i="7" s="1"/>
  <c r="AK67" i="4"/>
  <c r="AK84" i="4" s="1"/>
  <c r="AK83" i="4"/>
  <c r="AR24" i="6"/>
  <c r="AR48" i="7" s="1"/>
  <c r="E22" i="10"/>
  <c r="AT52" i="6"/>
  <c r="AT90" i="6" s="1"/>
  <c r="AT71" i="6"/>
  <c r="AH54" i="6"/>
  <c r="AH92" i="6" s="1"/>
  <c r="AH73" i="6"/>
  <c r="AT47" i="6"/>
  <c r="AT47" i="7" s="1"/>
  <c r="S63" i="6"/>
  <c r="S82" i="6"/>
  <c r="S85" i="6" s="1"/>
  <c r="R104" i="6"/>
  <c r="AL56" i="6"/>
  <c r="AL94" i="6" s="1"/>
  <c r="AL75" i="6"/>
  <c r="AM76" i="6"/>
  <c r="AM57" i="6"/>
  <c r="AM95" i="6" s="1"/>
  <c r="AD81" i="6"/>
  <c r="AD62" i="6"/>
  <c r="AD100" i="6" s="1"/>
  <c r="AB80" i="6"/>
  <c r="AB61" i="6"/>
  <c r="AB99" i="6" s="1"/>
  <c r="AB83" i="6"/>
  <c r="AB64" i="6"/>
  <c r="AB102" i="6" s="1"/>
  <c r="AB65" i="6"/>
  <c r="AB103" i="6" s="1"/>
  <c r="AB84" i="6"/>
  <c r="AK55" i="6"/>
  <c r="AK93" i="6" s="1"/>
  <c r="AK74" i="6"/>
  <c r="U97" i="6"/>
  <c r="T98" i="6"/>
  <c r="AI58" i="6"/>
  <c r="AI96" i="6" s="1"/>
  <c r="AI77" i="6"/>
  <c r="V91" i="6"/>
  <c r="AF89" i="6"/>
  <c r="AA30" i="3"/>
  <c r="Z24" i="7"/>
  <c r="Z25" i="7" s="1"/>
  <c r="AJ55" i="2"/>
  <c r="AJ82" i="4" s="1"/>
  <c r="AJ87" i="4" s="1"/>
  <c r="AL27" i="7" s="1"/>
  <c r="AI57" i="2"/>
  <c r="AI65" i="2" s="1"/>
  <c r="AL68" i="4"/>
  <c r="AL66" i="4"/>
  <c r="AL64" i="4"/>
  <c r="AL63" i="4"/>
  <c r="AL62" i="4"/>
  <c r="AL65" i="4"/>
  <c r="AM59" i="4"/>
  <c r="AM61" i="4" s="1"/>
  <c r="AK54" i="2"/>
  <c r="AK81" i="4" s="1"/>
  <c r="AK53" i="2"/>
  <c r="AK85" i="4" s="1"/>
  <c r="AL47" i="2"/>
  <c r="AK56" i="2"/>
  <c r="AK51" i="2"/>
  <c r="AK49" i="2"/>
  <c r="AK50" i="2"/>
  <c r="AK52" i="2"/>
  <c r="AJ57" i="2" l="1"/>
  <c r="AJ65" i="2" s="1"/>
  <c r="Z15" i="7"/>
  <c r="Y77" i="4"/>
  <c r="AA12" i="7" s="1"/>
  <c r="E12" i="10" s="1"/>
  <c r="Y15" i="7"/>
  <c r="AA33" i="7"/>
  <c r="AA15" i="4"/>
  <c r="AA73" i="4" s="1"/>
  <c r="AC9" i="7"/>
  <c r="AC23" i="7" s="1"/>
  <c r="AA24" i="4"/>
  <c r="AA74" i="4" s="1"/>
  <c r="AK69" i="4"/>
  <c r="AK76" i="4" s="1"/>
  <c r="Q55" i="7"/>
  <c r="Z34" i="7"/>
  <c r="S50" i="7"/>
  <c r="S16" i="7"/>
  <c r="Q35" i="7"/>
  <c r="Q36" i="7" s="1"/>
  <c r="AL86" i="4"/>
  <c r="AL67" i="4"/>
  <c r="AL69" i="4" s="1"/>
  <c r="AL76" i="4" s="1"/>
  <c r="AL83" i="4"/>
  <c r="R19" i="7"/>
  <c r="R26" i="7"/>
  <c r="AA10" i="7"/>
  <c r="AA24" i="7" s="1"/>
  <c r="E23" i="10" s="1"/>
  <c r="Z30" i="3"/>
  <c r="AS24" i="6"/>
  <c r="AS48" i="7" s="1"/>
  <c r="AU52" i="6"/>
  <c r="AU90" i="6" s="1"/>
  <c r="AU71" i="6"/>
  <c r="AU47" i="6"/>
  <c r="AU47" i="7" s="1"/>
  <c r="AI73" i="6"/>
  <c r="AI54" i="6"/>
  <c r="AI92" i="6" s="1"/>
  <c r="AV47" i="6"/>
  <c r="AV47" i="7" s="1"/>
  <c r="AM75" i="6"/>
  <c r="AM56" i="6"/>
  <c r="AM94" i="6" s="1"/>
  <c r="U60" i="6"/>
  <c r="U79" i="6"/>
  <c r="AC61" i="6"/>
  <c r="AC99" i="6" s="1"/>
  <c r="AC80" i="6"/>
  <c r="AE62" i="6"/>
  <c r="AE100" i="6" s="1"/>
  <c r="AE81" i="6"/>
  <c r="AN57" i="6"/>
  <c r="AN95" i="6" s="1"/>
  <c r="AN76" i="6"/>
  <c r="V59" i="6"/>
  <c r="V78" i="6"/>
  <c r="AJ58" i="6"/>
  <c r="AJ96" i="6" s="1"/>
  <c r="AJ77" i="6"/>
  <c r="AL74" i="6"/>
  <c r="AL55" i="6"/>
  <c r="AL93" i="6" s="1"/>
  <c r="AC65" i="6"/>
  <c r="AC103" i="6" s="1"/>
  <c r="AC84" i="6"/>
  <c r="AC64" i="6"/>
  <c r="AC102" i="6" s="1"/>
  <c r="AC83" i="6"/>
  <c r="S101" i="6"/>
  <c r="S66" i="6"/>
  <c r="S51" i="7" s="1"/>
  <c r="W53" i="6"/>
  <c r="W72" i="6"/>
  <c r="AG70" i="6"/>
  <c r="AG51" i="6"/>
  <c r="AB10" i="7"/>
  <c r="AK55" i="2"/>
  <c r="AK82" i="4" s="1"/>
  <c r="AK87" i="4" s="1"/>
  <c r="AM27" i="7" s="1"/>
  <c r="AM68" i="4"/>
  <c r="AM66" i="4"/>
  <c r="AM67" i="4" s="1"/>
  <c r="AM64" i="4"/>
  <c r="AM63" i="4"/>
  <c r="AM62" i="4"/>
  <c r="AM65" i="4"/>
  <c r="AN59" i="4"/>
  <c r="AN61" i="4" s="1"/>
  <c r="AL54" i="2"/>
  <c r="AL53" i="2"/>
  <c r="AM47" i="2"/>
  <c r="AL56" i="2"/>
  <c r="AL49" i="2"/>
  <c r="AL52" i="2"/>
  <c r="AL50" i="2"/>
  <c r="AL51" i="2"/>
  <c r="Z38" i="4" l="1"/>
  <c r="Z75" i="4" s="1"/>
  <c r="AA38" i="4"/>
  <c r="AA75" i="4" s="1"/>
  <c r="AA77" i="4" s="1"/>
  <c r="AC12" i="7" s="1"/>
  <c r="Z15" i="4"/>
  <c r="Z73" i="4" s="1"/>
  <c r="AB9" i="7"/>
  <c r="AB11" i="7" s="1"/>
  <c r="Q56" i="7"/>
  <c r="R55" i="7" s="1"/>
  <c r="AL81" i="4"/>
  <c r="AL85" i="4"/>
  <c r="D34" i="10"/>
  <c r="S53" i="7"/>
  <c r="R29" i="7"/>
  <c r="R35" i="7" s="1"/>
  <c r="R36" i="7" s="1"/>
  <c r="S28" i="7"/>
  <c r="AA11" i="7"/>
  <c r="E10" i="10"/>
  <c r="E60" i="7" s="1"/>
  <c r="S17" i="7"/>
  <c r="S18" i="7" s="1"/>
  <c r="AM83" i="4"/>
  <c r="AL84" i="4"/>
  <c r="AM84" i="4"/>
  <c r="AM86" i="4"/>
  <c r="F26" i="10"/>
  <c r="AK57" i="2"/>
  <c r="AK65" i="2" s="1"/>
  <c r="AT24" i="6"/>
  <c r="AT48" i="7" s="1"/>
  <c r="AJ54" i="6"/>
  <c r="AJ92" i="6" s="1"/>
  <c r="AJ73" i="6"/>
  <c r="AV52" i="6"/>
  <c r="AV90" i="6" s="1"/>
  <c r="AV71" i="6"/>
  <c r="AD64" i="6"/>
  <c r="AD102" i="6" s="1"/>
  <c r="AD83" i="6"/>
  <c r="V97" i="6"/>
  <c r="AF81" i="6"/>
  <c r="AF62" i="6"/>
  <c r="AF100" i="6" s="1"/>
  <c r="AD65" i="6"/>
  <c r="AD103" i="6" s="1"/>
  <c r="AD84" i="6"/>
  <c r="AK77" i="6"/>
  <c r="AK58" i="6"/>
  <c r="AK96" i="6" s="1"/>
  <c r="U98" i="6"/>
  <c r="T82" i="6"/>
  <c r="T85" i="6" s="1"/>
  <c r="T63" i="6"/>
  <c r="S104" i="6"/>
  <c r="AM55" i="6"/>
  <c r="AM93" i="6" s="1"/>
  <c r="AM74" i="6"/>
  <c r="AO57" i="6"/>
  <c r="AO95" i="6" s="1"/>
  <c r="AO76" i="6"/>
  <c r="AD61" i="6"/>
  <c r="AD99" i="6" s="1"/>
  <c r="AD80" i="6"/>
  <c r="AN56" i="6"/>
  <c r="AN94" i="6" s="1"/>
  <c r="AN75" i="6"/>
  <c r="W91" i="6"/>
  <c r="AG89" i="6"/>
  <c r="AB24" i="7"/>
  <c r="AB25" i="7" s="1"/>
  <c r="AA25" i="7"/>
  <c r="E24" i="10" s="1"/>
  <c r="AC10" i="7"/>
  <c r="AL55" i="2"/>
  <c r="AO59" i="4"/>
  <c r="AO61" i="4" s="1"/>
  <c r="AM69" i="4"/>
  <c r="AM76" i="4" s="1"/>
  <c r="AN68" i="4"/>
  <c r="AN66" i="4"/>
  <c r="AN83" i="4" s="1"/>
  <c r="AN65" i="4"/>
  <c r="AN64" i="4"/>
  <c r="AN63" i="4"/>
  <c r="AN62" i="4"/>
  <c r="AM54" i="2"/>
  <c r="AM53" i="2"/>
  <c r="AM56" i="2"/>
  <c r="AM51" i="2"/>
  <c r="AM49" i="2"/>
  <c r="AM52" i="2"/>
  <c r="AM50" i="2"/>
  <c r="AN47" i="2"/>
  <c r="AB23" i="7" l="1"/>
  <c r="AC33" i="7" s="1"/>
  <c r="D36" i="10"/>
  <c r="Z24" i="4"/>
  <c r="Z74" i="4" s="1"/>
  <c r="Z77" i="4" s="1"/>
  <c r="AB12" i="7" s="1"/>
  <c r="AB15" i="7" s="1"/>
  <c r="AB33" i="7"/>
  <c r="AM85" i="4"/>
  <c r="AL82" i="4"/>
  <c r="AL87" i="4" s="1"/>
  <c r="AN27" i="7" s="1"/>
  <c r="AM81" i="4"/>
  <c r="R56" i="7"/>
  <c r="S55" i="7" s="1"/>
  <c r="AA34" i="7"/>
  <c r="AB34" i="7"/>
  <c r="AA15" i="7"/>
  <c r="E15" i="10" s="1"/>
  <c r="E31" i="10" s="1"/>
  <c r="E11" i="10"/>
  <c r="C3" i="8" s="1"/>
  <c r="AC11" i="7"/>
  <c r="AC15" i="7" s="1"/>
  <c r="T16" i="7"/>
  <c r="T50" i="7"/>
  <c r="AN86" i="4"/>
  <c r="AN67" i="4"/>
  <c r="AN69" i="4" s="1"/>
  <c r="AN76" i="4" s="1"/>
  <c r="S19" i="7"/>
  <c r="S26" i="7"/>
  <c r="AB30" i="3"/>
  <c r="AU24" i="6"/>
  <c r="AU48" i="7" s="1"/>
  <c r="AK73" i="6"/>
  <c r="AK54" i="6"/>
  <c r="AK92" i="6" s="1"/>
  <c r="AW47" i="6"/>
  <c r="AW47" i="7" s="1"/>
  <c r="AW52" i="6"/>
  <c r="AW90" i="6" s="1"/>
  <c r="AW71" i="6"/>
  <c r="AX47" i="6"/>
  <c r="AX47" i="7" s="1"/>
  <c r="AG62" i="6"/>
  <c r="AG100" i="6" s="1"/>
  <c r="AG81" i="6"/>
  <c r="AE61" i="6"/>
  <c r="AE99" i="6" s="1"/>
  <c r="AE80" i="6"/>
  <c r="AN55" i="6"/>
  <c r="AN93" i="6" s="1"/>
  <c r="AN74" i="6"/>
  <c r="T101" i="6"/>
  <c r="T66" i="6"/>
  <c r="T51" i="7" s="1"/>
  <c r="AE64" i="6"/>
  <c r="AE102" i="6" s="1"/>
  <c r="AE83" i="6"/>
  <c r="V60" i="6"/>
  <c r="V79" i="6"/>
  <c r="AE65" i="6"/>
  <c r="AE103" i="6" s="1"/>
  <c r="AE84" i="6"/>
  <c r="AO56" i="6"/>
  <c r="AO94" i="6" s="1"/>
  <c r="AO75" i="6"/>
  <c r="AP76" i="6"/>
  <c r="AP57" i="6"/>
  <c r="AP95" i="6" s="1"/>
  <c r="AL58" i="6"/>
  <c r="AL96" i="6" s="1"/>
  <c r="AL77" i="6"/>
  <c r="W59" i="6"/>
  <c r="W78" i="6"/>
  <c r="X53" i="6"/>
  <c r="X72" i="6"/>
  <c r="AH70" i="6"/>
  <c r="AH51" i="6"/>
  <c r="AD30" i="3"/>
  <c r="AC24" i="7"/>
  <c r="AL57" i="2"/>
  <c r="AL65" i="2" s="1"/>
  <c r="AD10" i="7"/>
  <c r="AM55" i="2"/>
  <c r="AO68" i="4"/>
  <c r="AO66" i="4"/>
  <c r="AO65" i="4"/>
  <c r="AO86" i="4" s="1"/>
  <c r="AO64" i="4"/>
  <c r="AO63" i="4"/>
  <c r="AO62" i="4"/>
  <c r="AP59" i="4"/>
  <c r="AP61" i="4" s="1"/>
  <c r="AN53" i="2"/>
  <c r="AN54" i="2"/>
  <c r="AN56" i="2"/>
  <c r="AN52" i="2"/>
  <c r="AN51" i="2"/>
  <c r="AN49" i="2"/>
  <c r="AN50" i="2"/>
  <c r="AO47" i="2"/>
  <c r="AB38" i="4" l="1"/>
  <c r="AB75" i="4" s="1"/>
  <c r="AD15" i="4"/>
  <c r="AD73" i="4" s="1"/>
  <c r="AB15" i="4"/>
  <c r="AB73" i="4" s="1"/>
  <c r="AF9" i="7"/>
  <c r="AF23" i="7" s="1"/>
  <c r="AD9" i="7"/>
  <c r="AD11" i="7" s="1"/>
  <c r="AN81" i="4"/>
  <c r="AM82" i="4"/>
  <c r="AM87" i="4" s="1"/>
  <c r="AO27" i="7" s="1"/>
  <c r="AN85" i="4"/>
  <c r="T53" i="7"/>
  <c r="S29" i="7"/>
  <c r="S35" i="7" s="1"/>
  <c r="S36" i="7" s="1"/>
  <c r="S56" i="7" s="1"/>
  <c r="T28" i="7"/>
  <c r="T17" i="7"/>
  <c r="AO83" i="4"/>
  <c r="AN84" i="4"/>
  <c r="AO67" i="4"/>
  <c r="AO84" i="4" s="1"/>
  <c r="C4" i="8"/>
  <c r="C6" i="8"/>
  <c r="AC30" i="3"/>
  <c r="AV24" i="6"/>
  <c r="AV48" i="7" s="1"/>
  <c r="AX52" i="6"/>
  <c r="AX90" i="6" s="1"/>
  <c r="AX71" i="6"/>
  <c r="AL73" i="6"/>
  <c r="AL54" i="6"/>
  <c r="AL92" i="6" s="1"/>
  <c r="W97" i="6"/>
  <c r="AP56" i="6"/>
  <c r="AP94" i="6" s="1"/>
  <c r="AP75" i="6"/>
  <c r="AQ76" i="6"/>
  <c r="AQ57" i="6"/>
  <c r="AQ95" i="6" s="1"/>
  <c r="V98" i="6"/>
  <c r="AF64" i="6"/>
  <c r="AF102" i="6" s="1"/>
  <c r="AF83" i="6"/>
  <c r="AO55" i="6"/>
  <c r="AO93" i="6" s="1"/>
  <c r="AO74" i="6"/>
  <c r="AH81" i="6"/>
  <c r="AH62" i="6"/>
  <c r="AH100" i="6" s="1"/>
  <c r="AM58" i="6"/>
  <c r="AM96" i="6" s="1"/>
  <c r="AM77" i="6"/>
  <c r="AF65" i="6"/>
  <c r="AF103" i="6" s="1"/>
  <c r="AF84" i="6"/>
  <c r="U63" i="6"/>
  <c r="U82" i="6"/>
  <c r="U85" i="6" s="1"/>
  <c r="T104" i="6"/>
  <c r="AF61" i="6"/>
  <c r="AF99" i="6" s="1"/>
  <c r="AF80" i="6"/>
  <c r="X91" i="6"/>
  <c r="AH89" i="6"/>
  <c r="AE30" i="3"/>
  <c r="AC25" i="7"/>
  <c r="AC34" i="7" s="1"/>
  <c r="AD24" i="7"/>
  <c r="AD25" i="7" s="1"/>
  <c r="AM57" i="2"/>
  <c r="AM65" i="2" s="1"/>
  <c r="AE10" i="7"/>
  <c r="AN55" i="2"/>
  <c r="AP65" i="4"/>
  <c r="AP63" i="4"/>
  <c r="AP62" i="4"/>
  <c r="AP68" i="4"/>
  <c r="AP66" i="4"/>
  <c r="AP64" i="4"/>
  <c r="AQ59" i="4"/>
  <c r="AQ61" i="4" s="1"/>
  <c r="AO54" i="2"/>
  <c r="AO81" i="4" s="1"/>
  <c r="AO53" i="2"/>
  <c r="AO85" i="4" s="1"/>
  <c r="AP47" i="2"/>
  <c r="AO56" i="2"/>
  <c r="AO49" i="2"/>
  <c r="AO52" i="2"/>
  <c r="AO51" i="2"/>
  <c r="AO50" i="2"/>
  <c r="AC38" i="4" l="1"/>
  <c r="AC75" i="4" s="1"/>
  <c r="AD24" i="4"/>
  <c r="AD74" i="4" s="1"/>
  <c r="AB24" i="4"/>
  <c r="AB74" i="4" s="1"/>
  <c r="AB77" i="4" s="1"/>
  <c r="AD12" i="7" s="1"/>
  <c r="AD15" i="7" s="1"/>
  <c r="AC15" i="4"/>
  <c r="AC73" i="4" s="1"/>
  <c r="AE15" i="4"/>
  <c r="AE73" i="4" s="1"/>
  <c r="AD38" i="4"/>
  <c r="AD75" i="4" s="1"/>
  <c r="AD77" i="4" s="1"/>
  <c r="AF12" i="7" s="1"/>
  <c r="AD23" i="7"/>
  <c r="AD33" i="7" s="1"/>
  <c r="AG9" i="7"/>
  <c r="AG23" i="7" s="1"/>
  <c r="AE9" i="7"/>
  <c r="AE23" i="7" s="1"/>
  <c r="AF33" i="7" s="1"/>
  <c r="AN82" i="4"/>
  <c r="AN87" i="4" s="1"/>
  <c r="AP27" i="7" s="1"/>
  <c r="T55" i="7"/>
  <c r="AD34" i="7"/>
  <c r="U16" i="7"/>
  <c r="U17" i="7" s="1"/>
  <c r="U50" i="7"/>
  <c r="T18" i="7"/>
  <c r="T26" i="7" s="1"/>
  <c r="T29" i="7" s="1"/>
  <c r="AO69" i="4"/>
  <c r="AO76" i="4" s="1"/>
  <c r="AP86" i="4"/>
  <c r="AP67" i="4"/>
  <c r="AP69" i="4" s="1"/>
  <c r="AP76" i="4" s="1"/>
  <c r="AP83" i="4"/>
  <c r="AW24" i="6"/>
  <c r="AW48" i="7" s="1"/>
  <c r="AM54" i="6"/>
  <c r="AM92" i="6" s="1"/>
  <c r="AM73" i="6"/>
  <c r="AY47" i="6"/>
  <c r="AY47" i="7" s="1"/>
  <c r="AY71" i="6"/>
  <c r="AY52" i="6"/>
  <c r="AY90" i="6" s="1"/>
  <c r="AG65" i="6"/>
  <c r="AG103" i="6" s="1"/>
  <c r="AG84" i="6"/>
  <c r="AG80" i="6"/>
  <c r="AG61" i="6"/>
  <c r="AG99" i="6" s="1"/>
  <c r="U101" i="6"/>
  <c r="U66" i="6"/>
  <c r="U51" i="7" s="1"/>
  <c r="AQ75" i="6"/>
  <c r="AQ56" i="6"/>
  <c r="AQ94" i="6" s="1"/>
  <c r="AN58" i="6"/>
  <c r="AN96" i="6" s="1"/>
  <c r="AN77" i="6"/>
  <c r="AP55" i="6"/>
  <c r="AP93" i="6" s="1"/>
  <c r="AP74" i="6"/>
  <c r="W60" i="6"/>
  <c r="W79" i="6"/>
  <c r="X78" i="6"/>
  <c r="X59" i="6"/>
  <c r="AG64" i="6"/>
  <c r="AG102" i="6" s="1"/>
  <c r="AG83" i="6"/>
  <c r="AI81" i="6"/>
  <c r="AI62" i="6"/>
  <c r="AI100" i="6" s="1"/>
  <c r="AR57" i="6"/>
  <c r="AR95" i="6" s="1"/>
  <c r="AR76" i="6"/>
  <c r="Y53" i="6"/>
  <c r="Y72" i="6"/>
  <c r="AI70" i="6"/>
  <c r="AI51" i="6"/>
  <c r="AN57" i="2"/>
  <c r="AN65" i="2" s="1"/>
  <c r="AE24" i="7"/>
  <c r="AE25" i="7" s="1"/>
  <c r="AF10" i="7"/>
  <c r="AO55" i="2"/>
  <c r="AQ65" i="4"/>
  <c r="AQ86" i="4" s="1"/>
  <c r="AQ63" i="4"/>
  <c r="AQ62" i="4"/>
  <c r="AQ68" i="4"/>
  <c r="AQ66" i="4"/>
  <c r="AQ64" i="4"/>
  <c r="AR59" i="4"/>
  <c r="AR61" i="4" s="1"/>
  <c r="AP53" i="2"/>
  <c r="AP85" i="4" s="1"/>
  <c r="AP54" i="2"/>
  <c r="AP56" i="2"/>
  <c r="AP51" i="2"/>
  <c r="AP52" i="2"/>
  <c r="AP49" i="2"/>
  <c r="AP50" i="2"/>
  <c r="AQ47" i="2"/>
  <c r="AC24" i="4" l="1"/>
  <c r="AC74" i="4" s="1"/>
  <c r="AC77" i="4" s="1"/>
  <c r="AE12" i="7" s="1"/>
  <c r="AE38" i="4"/>
  <c r="AE75" i="4" s="1"/>
  <c r="AG33" i="7"/>
  <c r="AE24" i="4"/>
  <c r="AE74" i="4" s="1"/>
  <c r="AE33" i="7"/>
  <c r="AE11" i="7"/>
  <c r="AP81" i="4"/>
  <c r="AO82" i="4"/>
  <c r="AO87" i="4" s="1"/>
  <c r="AQ27" i="7" s="1"/>
  <c r="U53" i="7"/>
  <c r="AF11" i="7"/>
  <c r="AF15" i="7" s="1"/>
  <c r="AE34" i="7"/>
  <c r="T35" i="7"/>
  <c r="T36" i="7" s="1"/>
  <c r="T19" i="7"/>
  <c r="AQ67" i="4"/>
  <c r="AQ69" i="4" s="1"/>
  <c r="AQ76" i="4" s="1"/>
  <c r="AQ83" i="4"/>
  <c r="AP84" i="4"/>
  <c r="AX24" i="6"/>
  <c r="AX48" i="7" s="1"/>
  <c r="AZ52" i="6"/>
  <c r="AZ90" i="6" s="1"/>
  <c r="AZ71" i="6"/>
  <c r="AZ47" i="6"/>
  <c r="AZ47" i="7" s="1"/>
  <c r="AN54" i="6"/>
  <c r="AN92" i="6" s="1"/>
  <c r="AN73" i="6"/>
  <c r="AH83" i="6"/>
  <c r="AH64" i="6"/>
  <c r="AH102" i="6" s="1"/>
  <c r="X97" i="6"/>
  <c r="W98" i="6"/>
  <c r="AO58" i="6"/>
  <c r="AO96" i="6" s="1"/>
  <c r="AO77" i="6"/>
  <c r="V63" i="6"/>
  <c r="V82" i="6"/>
  <c r="V85" i="6" s="1"/>
  <c r="U104" i="6"/>
  <c r="AH65" i="6"/>
  <c r="AH103" i="6" s="1"/>
  <c r="AH84" i="6"/>
  <c r="AJ62" i="6"/>
  <c r="AJ100" i="6" s="1"/>
  <c r="AJ81" i="6"/>
  <c r="AS57" i="6"/>
  <c r="AS95" i="6" s="1"/>
  <c r="AS76" i="6"/>
  <c r="U18" i="7"/>
  <c r="AQ55" i="6"/>
  <c r="AQ93" i="6" s="1"/>
  <c r="AQ74" i="6"/>
  <c r="AR56" i="6"/>
  <c r="AR94" i="6" s="1"/>
  <c r="AR75" i="6"/>
  <c r="AH61" i="6"/>
  <c r="AH99" i="6" s="1"/>
  <c r="AH80" i="6"/>
  <c r="Y91" i="6"/>
  <c r="AI89" i="6"/>
  <c r="AO57" i="2"/>
  <c r="AO65" i="2" s="1"/>
  <c r="AF24" i="7"/>
  <c r="AF25" i="7" s="1"/>
  <c r="AG10" i="7"/>
  <c r="AP55" i="2"/>
  <c r="AP57" i="2" s="1"/>
  <c r="AP65" i="2" s="1"/>
  <c r="AS59" i="4"/>
  <c r="AS61" i="4" s="1"/>
  <c r="AR68" i="4"/>
  <c r="AR66" i="4"/>
  <c r="AR65" i="4"/>
  <c r="AR64" i="4"/>
  <c r="AR63" i="4"/>
  <c r="AR62" i="4"/>
  <c r="AQ54" i="2"/>
  <c r="AQ53" i="2"/>
  <c r="AQ85" i="4" s="1"/>
  <c r="AQ56" i="2"/>
  <c r="AQ50" i="2"/>
  <c r="AQ51" i="2"/>
  <c r="AQ49" i="2"/>
  <c r="AQ52" i="2"/>
  <c r="AR47" i="2"/>
  <c r="AE15" i="7" l="1"/>
  <c r="AE77" i="4"/>
  <c r="AG12" i="7" s="1"/>
  <c r="AQ84" i="4"/>
  <c r="AP82" i="4"/>
  <c r="AP87" i="4" s="1"/>
  <c r="AR27" i="7" s="1"/>
  <c r="AQ81" i="4"/>
  <c r="U28" i="7"/>
  <c r="AG11" i="7"/>
  <c r="AF34" i="7"/>
  <c r="T56" i="7"/>
  <c r="V50" i="7"/>
  <c r="V16" i="7"/>
  <c r="V17" i="7" s="1"/>
  <c r="AR86" i="4"/>
  <c r="AR67" i="4"/>
  <c r="AR84" i="4" s="1"/>
  <c r="AR83" i="4"/>
  <c r="U19" i="7"/>
  <c r="V28" i="7" s="1"/>
  <c r="U26" i="7"/>
  <c r="AF30" i="3"/>
  <c r="AY24" i="6"/>
  <c r="AY48" i="7" s="1"/>
  <c r="AO54" i="6"/>
  <c r="AO92" i="6" s="1"/>
  <c r="AO73" i="6"/>
  <c r="BA47" i="6"/>
  <c r="BA47" i="7" s="1"/>
  <c r="BA52" i="6"/>
  <c r="BA90" i="6" s="1"/>
  <c r="BA71" i="6"/>
  <c r="AS56" i="6"/>
  <c r="AS94" i="6" s="1"/>
  <c r="AS75" i="6"/>
  <c r="AK81" i="6"/>
  <c r="AK62" i="6"/>
  <c r="AK100" i="6" s="1"/>
  <c r="X79" i="6"/>
  <c r="X60" i="6"/>
  <c r="V101" i="6"/>
  <c r="V66" i="6"/>
  <c r="V51" i="7" s="1"/>
  <c r="AI83" i="6"/>
  <c r="AI64" i="6"/>
  <c r="AI102" i="6" s="1"/>
  <c r="AI80" i="6"/>
  <c r="AI61" i="6"/>
  <c r="AI99" i="6" s="1"/>
  <c r="AR55" i="6"/>
  <c r="AR93" i="6" s="1"/>
  <c r="AR74" i="6"/>
  <c r="AT57" i="6"/>
  <c r="AT95" i="6" s="1"/>
  <c r="AT76" i="6"/>
  <c r="AI65" i="6"/>
  <c r="AI103" i="6" s="1"/>
  <c r="AI84" i="6"/>
  <c r="AP58" i="6"/>
  <c r="AP96" i="6" s="1"/>
  <c r="AP77" i="6"/>
  <c r="Y59" i="6"/>
  <c r="Y78" i="6"/>
  <c r="Z53" i="6"/>
  <c r="Z72" i="6"/>
  <c r="AJ70" i="6"/>
  <c r="AJ51" i="6"/>
  <c r="AG24" i="7"/>
  <c r="AH10" i="7"/>
  <c r="AQ55" i="2"/>
  <c r="AS68" i="4"/>
  <c r="AS66" i="4"/>
  <c r="AS65" i="4"/>
  <c r="AS86" i="4" s="1"/>
  <c r="AS64" i="4"/>
  <c r="AS63" i="4"/>
  <c r="AS62" i="4"/>
  <c r="AT59" i="4"/>
  <c r="AT61" i="4" s="1"/>
  <c r="AR53" i="2"/>
  <c r="AR54" i="2"/>
  <c r="AR81" i="4" s="1"/>
  <c r="AR56" i="2"/>
  <c r="AR52" i="2"/>
  <c r="AR50" i="2"/>
  <c r="AR51" i="2"/>
  <c r="AR49" i="2"/>
  <c r="AS47" i="2"/>
  <c r="AF38" i="4" l="1"/>
  <c r="AF75" i="4" s="1"/>
  <c r="AG15" i="7"/>
  <c r="AF15" i="4"/>
  <c r="AF73" i="4" s="1"/>
  <c r="AH9" i="7"/>
  <c r="AH23" i="7" s="1"/>
  <c r="AH33" i="7" s="1"/>
  <c r="AF24" i="4"/>
  <c r="AF74" i="4" s="1"/>
  <c r="AR69" i="4"/>
  <c r="AR76" i="4" s="1"/>
  <c r="AQ82" i="4"/>
  <c r="AQ87" i="4" s="1"/>
  <c r="AS27" i="7" s="1"/>
  <c r="AR85" i="4"/>
  <c r="U29" i="7"/>
  <c r="U55" i="7"/>
  <c r="V53" i="7"/>
  <c r="AS67" i="4"/>
  <c r="AS69" i="4" s="1"/>
  <c r="AS76" i="4" s="1"/>
  <c r="AS83" i="4"/>
  <c r="AG30" i="3"/>
  <c r="AQ57" i="2"/>
  <c r="AQ65" i="2" s="1"/>
  <c r="AZ24" i="6"/>
  <c r="AZ48" i="7" s="1"/>
  <c r="BB52" i="6"/>
  <c r="BB90" i="6" s="1"/>
  <c r="BB71" i="6"/>
  <c r="BC47" i="6"/>
  <c r="BC47" i="7" s="1"/>
  <c r="BB47" i="6"/>
  <c r="BB47" i="7" s="1"/>
  <c r="AP73" i="6"/>
  <c r="AP54" i="6"/>
  <c r="AP92" i="6" s="1"/>
  <c r="AJ83" i="6"/>
  <c r="AJ64" i="6"/>
  <c r="AJ102" i="6" s="1"/>
  <c r="AQ58" i="6"/>
  <c r="AQ96" i="6" s="1"/>
  <c r="AQ77" i="6"/>
  <c r="AL81" i="6"/>
  <c r="AL62" i="6"/>
  <c r="AL100" i="6" s="1"/>
  <c r="Y97" i="6"/>
  <c r="AJ65" i="6"/>
  <c r="AJ103" i="6" s="1"/>
  <c r="AJ84" i="6"/>
  <c r="AS55" i="6"/>
  <c r="AS93" i="6" s="1"/>
  <c r="AS74" i="6"/>
  <c r="AU76" i="6"/>
  <c r="AU57" i="6"/>
  <c r="AU95" i="6" s="1"/>
  <c r="W63" i="6"/>
  <c r="W82" i="6"/>
  <c r="W85" i="6" s="1"/>
  <c r="V104" i="6"/>
  <c r="X98" i="6"/>
  <c r="AJ61" i="6"/>
  <c r="AJ99" i="6" s="1"/>
  <c r="AJ80" i="6"/>
  <c r="V18" i="7"/>
  <c r="AT75" i="6"/>
  <c r="AT56" i="6"/>
  <c r="AT94" i="6" s="1"/>
  <c r="Z91" i="6"/>
  <c r="AJ89" i="6"/>
  <c r="AI30" i="3"/>
  <c r="AG25" i="7"/>
  <c r="AG34" i="7" s="1"/>
  <c r="AH24" i="7"/>
  <c r="AH25" i="7" s="1"/>
  <c r="AI10" i="7"/>
  <c r="AR55" i="2"/>
  <c r="AR82" i="4" s="1"/>
  <c r="AT68" i="4"/>
  <c r="AT66" i="4"/>
  <c r="AT67" i="4" s="1"/>
  <c r="AT64" i="4"/>
  <c r="AT63" i="4"/>
  <c r="AT62" i="4"/>
  <c r="AT65" i="4"/>
  <c r="AU59" i="4"/>
  <c r="AU61" i="4" s="1"/>
  <c r="AS54" i="2"/>
  <c r="AS81" i="4" s="1"/>
  <c r="AS53" i="2"/>
  <c r="AS56" i="2"/>
  <c r="AS51" i="2"/>
  <c r="AS49" i="2"/>
  <c r="AS52" i="2"/>
  <c r="AS50" i="2"/>
  <c r="AT47" i="2"/>
  <c r="AG38" i="4" l="1"/>
  <c r="AG75" i="4" s="1"/>
  <c r="AH11" i="7"/>
  <c r="AF77" i="4"/>
  <c r="AH12" i="7" s="1"/>
  <c r="AG15" i="4"/>
  <c r="AG73" i="4" s="1"/>
  <c r="AI15" i="4"/>
  <c r="AI73" i="4" s="1"/>
  <c r="AI9" i="7"/>
  <c r="AI23" i="7" s="1"/>
  <c r="AI33" i="7" s="1"/>
  <c r="AK9" i="7"/>
  <c r="AK23" i="7" s="1"/>
  <c r="AI24" i="4"/>
  <c r="AI74" i="4" s="1"/>
  <c r="AR87" i="4"/>
  <c r="AT27" i="7" s="1"/>
  <c r="AT84" i="4"/>
  <c r="AS85" i="4"/>
  <c r="AH34" i="7"/>
  <c r="W50" i="7"/>
  <c r="W16" i="7"/>
  <c r="W17" i="7" s="1"/>
  <c r="U35" i="7"/>
  <c r="U36" i="7" s="1"/>
  <c r="U56" i="7" s="1"/>
  <c r="AS84" i="4"/>
  <c r="AT86" i="4"/>
  <c r="AT83" i="4"/>
  <c r="V19" i="7"/>
  <c r="W28" i="7" s="1"/>
  <c r="V26" i="7"/>
  <c r="V29" i="7" s="1"/>
  <c r="AH30" i="3"/>
  <c r="BA24" i="6"/>
  <c r="BA48" i="7" s="1"/>
  <c r="BD47" i="6"/>
  <c r="BD47" i="7" s="1"/>
  <c r="BC71" i="6"/>
  <c r="BC52" i="6"/>
  <c r="BC90" i="6" s="1"/>
  <c r="AQ54" i="6"/>
  <c r="AQ92" i="6" s="1"/>
  <c r="AQ73" i="6"/>
  <c r="Y79" i="6"/>
  <c r="Y60" i="6"/>
  <c r="Z59" i="6"/>
  <c r="Z78" i="6"/>
  <c r="AU56" i="6"/>
  <c r="AU94" i="6" s="1"/>
  <c r="AU75" i="6"/>
  <c r="AM62" i="6"/>
  <c r="AM100" i="6" s="1"/>
  <c r="AM81" i="6"/>
  <c r="AT74" i="6"/>
  <c r="AT55" i="6"/>
  <c r="AT93" i="6" s="1"/>
  <c r="AK64" i="6"/>
  <c r="AK102" i="6" s="1"/>
  <c r="AK83" i="6"/>
  <c r="AK80" i="6"/>
  <c r="AK61" i="6"/>
  <c r="AK99" i="6" s="1"/>
  <c r="AK84" i="6"/>
  <c r="AK65" i="6"/>
  <c r="AK103" i="6" s="1"/>
  <c r="AV76" i="6"/>
  <c r="AV57" i="6"/>
  <c r="AV95" i="6" s="1"/>
  <c r="AR58" i="6"/>
  <c r="AR96" i="6" s="1"/>
  <c r="AR77" i="6"/>
  <c r="W101" i="6"/>
  <c r="W66" i="6"/>
  <c r="W51" i="7" s="1"/>
  <c r="AA72" i="6"/>
  <c r="AA53" i="6"/>
  <c r="AK70" i="6"/>
  <c r="AK51" i="6"/>
  <c r="AI24" i="7"/>
  <c r="AI25" i="7" s="1"/>
  <c r="AR57" i="2"/>
  <c r="AR65" i="2" s="1"/>
  <c r="AJ10" i="7"/>
  <c r="AS55" i="2"/>
  <c r="AS82" i="4" s="1"/>
  <c r="AT69" i="4"/>
  <c r="AT76" i="4" s="1"/>
  <c r="AV59" i="4"/>
  <c r="AV61" i="4" s="1"/>
  <c r="AU68" i="4"/>
  <c r="AU66" i="4"/>
  <c r="AU64" i="4"/>
  <c r="AU63" i="4"/>
  <c r="AU62" i="4"/>
  <c r="AU65" i="4"/>
  <c r="AU86" i="4" s="1"/>
  <c r="AT54" i="2"/>
  <c r="AT81" i="4" s="1"/>
  <c r="AT53" i="2"/>
  <c r="AT56" i="2"/>
  <c r="AT49" i="2"/>
  <c r="AT52" i="2"/>
  <c r="AT51" i="2"/>
  <c r="AT50" i="2"/>
  <c r="AU47" i="2"/>
  <c r="AH15" i="7" l="1"/>
  <c r="AH38" i="4"/>
  <c r="AH75" i="4" s="1"/>
  <c r="AI11" i="7"/>
  <c r="AG24" i="4"/>
  <c r="AG74" i="4" s="1"/>
  <c r="AG77" i="4" s="1"/>
  <c r="AI12" i="7" s="1"/>
  <c r="AI38" i="4"/>
  <c r="AI75" i="4" s="1"/>
  <c r="AI77" i="4" s="1"/>
  <c r="AK12" i="7" s="1"/>
  <c r="AH15" i="4"/>
  <c r="AH73" i="4" s="1"/>
  <c r="AJ9" i="7"/>
  <c r="AJ23" i="7" s="1"/>
  <c r="AK33" i="7" s="1"/>
  <c r="AS87" i="4"/>
  <c r="AU27" i="7" s="1"/>
  <c r="AT85" i="4"/>
  <c r="V55" i="7"/>
  <c r="W53" i="7"/>
  <c r="AI34" i="7"/>
  <c r="AU67" i="4"/>
  <c r="AU84" i="4" s="1"/>
  <c r="AU83" i="4"/>
  <c r="AJ30" i="3"/>
  <c r="BB24" i="6"/>
  <c r="BB48" i="7" s="1"/>
  <c r="AR73" i="6"/>
  <c r="AR54" i="6"/>
  <c r="AR92" i="6" s="1"/>
  <c r="BD52" i="6"/>
  <c r="BD90" i="6" s="1"/>
  <c r="BD71" i="6"/>
  <c r="BE47" i="6"/>
  <c r="BE47" i="7" s="1"/>
  <c r="AL65" i="6"/>
  <c r="AL103" i="6" s="1"/>
  <c r="AL84" i="6"/>
  <c r="AV56" i="6"/>
  <c r="AV94" i="6" s="1"/>
  <c r="AV75" i="6"/>
  <c r="AW57" i="6"/>
  <c r="AW95" i="6" s="1"/>
  <c r="AW76" i="6"/>
  <c r="AU55" i="6"/>
  <c r="AU93" i="6" s="1"/>
  <c r="AU74" i="6"/>
  <c r="W18" i="7"/>
  <c r="Y98" i="6"/>
  <c r="X63" i="6"/>
  <c r="X82" i="6"/>
  <c r="X85" i="6" s="1"/>
  <c r="W104" i="6"/>
  <c r="AL61" i="6"/>
  <c r="AL99" i="6" s="1"/>
  <c r="AL80" i="6"/>
  <c r="Z97" i="6"/>
  <c r="AS77" i="6"/>
  <c r="AS58" i="6"/>
  <c r="AS96" i="6" s="1"/>
  <c r="AL64" i="6"/>
  <c r="AL102" i="6" s="1"/>
  <c r="AL83" i="6"/>
  <c r="AN62" i="6"/>
  <c r="AN100" i="6" s="1"/>
  <c r="AN81" i="6"/>
  <c r="AA91" i="6"/>
  <c r="AK89" i="6"/>
  <c r="AK30" i="3"/>
  <c r="AJ24" i="7"/>
  <c r="AJ25" i="7" s="1"/>
  <c r="AS57" i="2"/>
  <c r="AS65" i="2" s="1"/>
  <c r="AK10" i="7"/>
  <c r="AT55" i="2"/>
  <c r="AT82" i="4" s="1"/>
  <c r="AW59" i="4"/>
  <c r="AW61" i="4" s="1"/>
  <c r="AV68" i="4"/>
  <c r="AV66" i="4"/>
  <c r="AV65" i="4"/>
  <c r="AV86" i="4" s="1"/>
  <c r="AV64" i="4"/>
  <c r="AV63" i="4"/>
  <c r="AV62" i="4"/>
  <c r="AU53" i="2"/>
  <c r="AU85" i="4" s="1"/>
  <c r="AU54" i="2"/>
  <c r="AU81" i="4" s="1"/>
  <c r="AU56" i="2"/>
  <c r="AU50" i="2"/>
  <c r="AU49" i="2"/>
  <c r="AU51" i="2"/>
  <c r="AU52" i="2"/>
  <c r="AV47" i="2"/>
  <c r="AI15" i="7" l="1"/>
  <c r="AT87" i="4"/>
  <c r="AV27" i="7" s="1"/>
  <c r="AH24" i="4"/>
  <c r="AH74" i="4" s="1"/>
  <c r="AH77" i="4" s="1"/>
  <c r="AJ12" i="7" s="1"/>
  <c r="AK15" i="4"/>
  <c r="AK73" i="4" s="1"/>
  <c r="AJ15" i="4"/>
  <c r="AJ73" i="4" s="1"/>
  <c r="AJ38" i="4"/>
  <c r="AJ75" i="4" s="1"/>
  <c r="AJ11" i="7"/>
  <c r="AM9" i="7"/>
  <c r="AM23" i="7" s="1"/>
  <c r="AK24" i="4"/>
  <c r="AK74" i="4" s="1"/>
  <c r="AL9" i="7"/>
  <c r="AL23" i="7" s="1"/>
  <c r="AL33" i="7" s="1"/>
  <c r="AJ33" i="7"/>
  <c r="AU69" i="4"/>
  <c r="AU76" i="4" s="1"/>
  <c r="AJ34" i="7"/>
  <c r="AK11" i="7"/>
  <c r="AK15" i="7" s="1"/>
  <c r="X16" i="7"/>
  <c r="X17" i="7" s="1"/>
  <c r="X50" i="7"/>
  <c r="V35" i="7"/>
  <c r="V36" i="7" s="1"/>
  <c r="V56" i="7" s="1"/>
  <c r="AV67" i="4"/>
  <c r="AV84" i="4" s="1"/>
  <c r="AV83" i="4"/>
  <c r="W19" i="7"/>
  <c r="X28" i="7" s="1"/>
  <c r="W26" i="7"/>
  <c r="W29" i="7" s="1"/>
  <c r="BC24" i="6"/>
  <c r="BC48" i="7" s="1"/>
  <c r="BE52" i="6"/>
  <c r="BE90" i="6" s="1"/>
  <c r="BE71" i="6"/>
  <c r="AS73" i="6"/>
  <c r="AS54" i="6"/>
  <c r="AS92" i="6" s="1"/>
  <c r="BF47" i="6"/>
  <c r="BF47" i="7" s="1"/>
  <c r="AM61" i="6"/>
  <c r="AM99" i="6" s="1"/>
  <c r="AM80" i="6"/>
  <c r="AO62" i="6"/>
  <c r="AO100" i="6" s="1"/>
  <c r="AO81" i="6"/>
  <c r="X101" i="6"/>
  <c r="X66" i="6"/>
  <c r="X51" i="7" s="1"/>
  <c r="AV74" i="6"/>
  <c r="AV55" i="6"/>
  <c r="AV93" i="6" s="1"/>
  <c r="Z60" i="6"/>
  <c r="Z79" i="6"/>
  <c r="AX76" i="6"/>
  <c r="AX57" i="6"/>
  <c r="AX95" i="6" s="1"/>
  <c r="AM65" i="6"/>
  <c r="AM103" i="6" s="1"/>
  <c r="AM84" i="6"/>
  <c r="AT58" i="6"/>
  <c r="AT96" i="6" s="1"/>
  <c r="AT77" i="6"/>
  <c r="AW56" i="6"/>
  <c r="AW94" i="6" s="1"/>
  <c r="AW75" i="6"/>
  <c r="AM83" i="6"/>
  <c r="AM64" i="6"/>
  <c r="AM102" i="6" s="1"/>
  <c r="AA59" i="6"/>
  <c r="AA78" i="6"/>
  <c r="AB72" i="6"/>
  <c r="AB53" i="6"/>
  <c r="AB91" i="6" s="1"/>
  <c r="AL51" i="6"/>
  <c r="AL70" i="6"/>
  <c r="AL30" i="3"/>
  <c r="AK24" i="7"/>
  <c r="AK25" i="7" s="1"/>
  <c r="AT57" i="2"/>
  <c r="AT65" i="2" s="1"/>
  <c r="AL10" i="7"/>
  <c r="AU55" i="2"/>
  <c r="AU82" i="4" s="1"/>
  <c r="AU87" i="4" s="1"/>
  <c r="AW27" i="7" s="1"/>
  <c r="AW68" i="4"/>
  <c r="AW66" i="4"/>
  <c r="AW65" i="4"/>
  <c r="AW86" i="4" s="1"/>
  <c r="AW64" i="4"/>
  <c r="AW63" i="4"/>
  <c r="AW62" i="4"/>
  <c r="AX59" i="4"/>
  <c r="AX61" i="4" s="1"/>
  <c r="AV53" i="2"/>
  <c r="AV85" i="4" s="1"/>
  <c r="AV54" i="2"/>
  <c r="AV81" i="4" s="1"/>
  <c r="AV56" i="2"/>
  <c r="AV51" i="2"/>
  <c r="AV49" i="2"/>
  <c r="AV52" i="2"/>
  <c r="AV50" i="2"/>
  <c r="AW47" i="2"/>
  <c r="AJ15" i="7" l="1"/>
  <c r="AK38" i="4"/>
  <c r="AK75" i="4" s="1"/>
  <c r="AK77" i="4" s="1"/>
  <c r="AM12" i="7" s="1"/>
  <c r="AL15" i="4"/>
  <c r="AL73" i="4" s="1"/>
  <c r="AJ24" i="4"/>
  <c r="AJ74" i="4" s="1"/>
  <c r="AJ77" i="4" s="1"/>
  <c r="AL12" i="7" s="1"/>
  <c r="AM33" i="7"/>
  <c r="AN9" i="7"/>
  <c r="AN23" i="7" s="1"/>
  <c r="AN33" i="7" s="1"/>
  <c r="AV69" i="4"/>
  <c r="AV76" i="4" s="1"/>
  <c r="W55" i="7"/>
  <c r="X53" i="7"/>
  <c r="AL11" i="7"/>
  <c r="AK34" i="7"/>
  <c r="AW67" i="4"/>
  <c r="AW84" i="4" s="1"/>
  <c r="AW83" i="4"/>
  <c r="BD24" i="6"/>
  <c r="BD48" i="7" s="1"/>
  <c r="F9" i="10"/>
  <c r="F22" i="10"/>
  <c r="BG47" i="6"/>
  <c r="BG47" i="7" s="1"/>
  <c r="AT73" i="6"/>
  <c r="AT54" i="6"/>
  <c r="AT92" i="6" s="1"/>
  <c r="BF52" i="6"/>
  <c r="BF90" i="6" s="1"/>
  <c r="BF71" i="6"/>
  <c r="X18" i="7"/>
  <c r="AA97" i="6"/>
  <c r="AN64" i="6"/>
  <c r="AN102" i="6" s="1"/>
  <c r="AN83" i="6"/>
  <c r="AY76" i="6"/>
  <c r="AY57" i="6"/>
  <c r="AY95" i="6" s="1"/>
  <c r="Z98" i="6"/>
  <c r="Y63" i="6"/>
  <c r="Y82" i="6"/>
  <c r="Y85" i="6" s="1"/>
  <c r="X104" i="6"/>
  <c r="AN84" i="6"/>
  <c r="AN65" i="6"/>
  <c r="AN103" i="6" s="1"/>
  <c r="AU58" i="6"/>
  <c r="AU96" i="6" s="1"/>
  <c r="AU77" i="6"/>
  <c r="AW74" i="6"/>
  <c r="AW55" i="6"/>
  <c r="AW93" i="6" s="1"/>
  <c r="AX56" i="6"/>
  <c r="AX94" i="6" s="1"/>
  <c r="AX75" i="6"/>
  <c r="AP62" i="6"/>
  <c r="AP100" i="6" s="1"/>
  <c r="AP81" i="6"/>
  <c r="AN80" i="6"/>
  <c r="AN61" i="6"/>
  <c r="AN99" i="6" s="1"/>
  <c r="AL89" i="6"/>
  <c r="AL24" i="7"/>
  <c r="AU57" i="2"/>
  <c r="AU65" i="2" s="1"/>
  <c r="AV55" i="2"/>
  <c r="AV82" i="4" s="1"/>
  <c r="AV87" i="4" s="1"/>
  <c r="AX27" i="7" s="1"/>
  <c r="AX65" i="4"/>
  <c r="AX63" i="4"/>
  <c r="AX62" i="4"/>
  <c r="AX68" i="4"/>
  <c r="AX66" i="4"/>
  <c r="AX64" i="4"/>
  <c r="AY59" i="4"/>
  <c r="AY61" i="4" s="1"/>
  <c r="AW54" i="2"/>
  <c r="AW81" i="4" s="1"/>
  <c r="AW53" i="2"/>
  <c r="AW85" i="4" s="1"/>
  <c r="AW56" i="2"/>
  <c r="AW49" i="2"/>
  <c r="AW52" i="2"/>
  <c r="AW50" i="2"/>
  <c r="AW51" i="2"/>
  <c r="AX47" i="2"/>
  <c r="AW69" i="4" l="1"/>
  <c r="AW76" i="4" s="1"/>
  <c r="AL24" i="4"/>
  <c r="AL74" i="4" s="1"/>
  <c r="F12" i="10"/>
  <c r="AL38" i="4"/>
  <c r="AL75" i="4" s="1"/>
  <c r="AL15" i="7"/>
  <c r="Y16" i="7"/>
  <c r="Y17" i="7" s="1"/>
  <c r="Y50" i="7"/>
  <c r="W35" i="7"/>
  <c r="W36" i="7" s="1"/>
  <c r="W56" i="7" s="1"/>
  <c r="AX67" i="4"/>
  <c r="AX83" i="4"/>
  <c r="AX86" i="4"/>
  <c r="X19" i="7"/>
  <c r="Y28" i="7" s="1"/>
  <c r="X26" i="7"/>
  <c r="X29" i="7" s="1"/>
  <c r="AM10" i="7"/>
  <c r="AM24" i="7" s="1"/>
  <c r="F23" i="10" s="1"/>
  <c r="AM30" i="3"/>
  <c r="BE24" i="6"/>
  <c r="BE48" i="7" s="1"/>
  <c r="BG52" i="6"/>
  <c r="BG90" i="6" s="1"/>
  <c r="BG71" i="6"/>
  <c r="AU54" i="6"/>
  <c r="AU92" i="6" s="1"/>
  <c r="AU73" i="6"/>
  <c r="BH47" i="6"/>
  <c r="BH47" i="7" s="1"/>
  <c r="AV58" i="6"/>
  <c r="AV96" i="6" s="1"/>
  <c r="AV77" i="6"/>
  <c r="AX55" i="6"/>
  <c r="AX93" i="6" s="1"/>
  <c r="AX74" i="6"/>
  <c r="Y101" i="6"/>
  <c r="Y66" i="6"/>
  <c r="Y51" i="7" s="1"/>
  <c r="AB59" i="6"/>
  <c r="AB78" i="6"/>
  <c r="AY75" i="6"/>
  <c r="AY56" i="6"/>
  <c r="AY94" i="6" s="1"/>
  <c r="AO65" i="6"/>
  <c r="AO103" i="6" s="1"/>
  <c r="AO84" i="6"/>
  <c r="AO61" i="6"/>
  <c r="AO99" i="6" s="1"/>
  <c r="AO80" i="6"/>
  <c r="AZ57" i="6"/>
  <c r="AZ95" i="6" s="1"/>
  <c r="AZ76" i="6"/>
  <c r="AQ62" i="6"/>
  <c r="AQ100" i="6" s="1"/>
  <c r="AQ81" i="6"/>
  <c r="AA60" i="6"/>
  <c r="AA79" i="6"/>
  <c r="AO83" i="6"/>
  <c r="AO64" i="6"/>
  <c r="AO102" i="6" s="1"/>
  <c r="AC72" i="6"/>
  <c r="AC53" i="6"/>
  <c r="AM51" i="6"/>
  <c r="AM70" i="6"/>
  <c r="AL25" i="7"/>
  <c r="AL34" i="7" s="1"/>
  <c r="AV57" i="2"/>
  <c r="AV65" i="2" s="1"/>
  <c r="AN10" i="7"/>
  <c r="AW55" i="2"/>
  <c r="AW82" i="4" s="1"/>
  <c r="AW87" i="4" s="1"/>
  <c r="AY27" i="7" s="1"/>
  <c r="AX69" i="4"/>
  <c r="AX76" i="4" s="1"/>
  <c r="AY65" i="4"/>
  <c r="AY86" i="4" s="1"/>
  <c r="AY63" i="4"/>
  <c r="AY62" i="4"/>
  <c r="AY68" i="4"/>
  <c r="AY66" i="4"/>
  <c r="AY67" i="4" s="1"/>
  <c r="AY64" i="4"/>
  <c r="AZ59" i="4"/>
  <c r="AZ61" i="4" s="1"/>
  <c r="AX53" i="2"/>
  <c r="AX54" i="2"/>
  <c r="AX56" i="2"/>
  <c r="AX52" i="2"/>
  <c r="AX50" i="2"/>
  <c r="AX51" i="2"/>
  <c r="AX49" i="2"/>
  <c r="AY47" i="2"/>
  <c r="AL77" i="4" l="1"/>
  <c r="AN12" i="7" s="1"/>
  <c r="AM15" i="4"/>
  <c r="AM73" i="4" s="1"/>
  <c r="AM38" i="4"/>
  <c r="AM75" i="4" s="1"/>
  <c r="AO9" i="7"/>
  <c r="AO23" i="7" s="1"/>
  <c r="AO33" i="7" s="1"/>
  <c r="AM24" i="4"/>
  <c r="AM74" i="4" s="1"/>
  <c r="AX81" i="4"/>
  <c r="AX85" i="4"/>
  <c r="X55" i="7"/>
  <c r="Y53" i="7"/>
  <c r="AN11" i="7"/>
  <c r="AM11" i="7"/>
  <c r="F10" i="10"/>
  <c r="F60" i="7" s="1"/>
  <c r="G26" i="10"/>
  <c r="AY83" i="4"/>
  <c r="AX84" i="4"/>
  <c r="AY84" i="4"/>
  <c r="AN30" i="3"/>
  <c r="BF24" i="6"/>
  <c r="BF48" i="7" s="1"/>
  <c r="AV73" i="6"/>
  <c r="AV54" i="6"/>
  <c r="AV92" i="6" s="1"/>
  <c r="BH52" i="6"/>
  <c r="BH90" i="6" s="1"/>
  <c r="BH71" i="6"/>
  <c r="AP61" i="6"/>
  <c r="AP99" i="6" s="1"/>
  <c r="AP80" i="6"/>
  <c r="AY55" i="6"/>
  <c r="AY93" i="6" s="1"/>
  <c r="AY74" i="6"/>
  <c r="AP65" i="6"/>
  <c r="AP103" i="6" s="1"/>
  <c r="AP84" i="6"/>
  <c r="AR62" i="6"/>
  <c r="AR100" i="6" s="1"/>
  <c r="AR81" i="6"/>
  <c r="Z63" i="6"/>
  <c r="Z82" i="6"/>
  <c r="Z85" i="6" s="1"/>
  <c r="Y104" i="6"/>
  <c r="Y18" i="7"/>
  <c r="AP64" i="6"/>
  <c r="AP102" i="6" s="1"/>
  <c r="AP83" i="6"/>
  <c r="AA98" i="6"/>
  <c r="BA57" i="6"/>
  <c r="BA95" i="6" s="1"/>
  <c r="BA76" i="6"/>
  <c r="AZ75" i="6"/>
  <c r="AZ56" i="6"/>
  <c r="AZ94" i="6" s="1"/>
  <c r="AB97" i="6"/>
  <c r="AW58" i="6"/>
  <c r="AW96" i="6" s="1"/>
  <c r="AW77" i="6"/>
  <c r="AC91" i="6"/>
  <c r="AM89" i="6"/>
  <c r="AW57" i="2"/>
  <c r="AW65" i="2" s="1"/>
  <c r="AM25" i="7"/>
  <c r="F24" i="10" s="1"/>
  <c r="AN24" i="7"/>
  <c r="AN25" i="7" s="1"/>
  <c r="AO10" i="7"/>
  <c r="AX55" i="2"/>
  <c r="AY69" i="4"/>
  <c r="AY76" i="4" s="1"/>
  <c r="BA59" i="4"/>
  <c r="BA61" i="4" s="1"/>
  <c r="AZ68" i="4"/>
  <c r="AZ66" i="4"/>
  <c r="AZ67" i="4" s="1"/>
  <c r="AZ65" i="4"/>
  <c r="AZ86" i="4" s="1"/>
  <c r="AZ64" i="4"/>
  <c r="AZ63" i="4"/>
  <c r="AZ62" i="4"/>
  <c r="AY54" i="2"/>
  <c r="AY53" i="2"/>
  <c r="AY85" i="4" s="1"/>
  <c r="AZ47" i="2"/>
  <c r="AY56" i="2"/>
  <c r="AY50" i="2"/>
  <c r="AY51" i="2"/>
  <c r="AY52" i="2"/>
  <c r="AY49" i="2"/>
  <c r="AM77" i="4" l="1"/>
  <c r="AO12" i="7" s="1"/>
  <c r="AN15" i="4"/>
  <c r="AN73" i="4" s="1"/>
  <c r="AN38" i="4"/>
  <c r="AN75" i="4" s="1"/>
  <c r="AP9" i="7"/>
  <c r="AP23" i="7" s="1"/>
  <c r="AP33" i="7" s="1"/>
  <c r="AY81" i="4"/>
  <c r="AX82" i="4"/>
  <c r="AX87" i="4" s="1"/>
  <c r="AZ27" i="7" s="1"/>
  <c r="AM34" i="7"/>
  <c r="AM15" i="7"/>
  <c r="F15" i="10" s="1"/>
  <c r="F31" i="10" s="1"/>
  <c r="F11" i="10"/>
  <c r="D3" i="8" s="1"/>
  <c r="AN34" i="7"/>
  <c r="AO11" i="7"/>
  <c r="AN15" i="7"/>
  <c r="X35" i="7"/>
  <c r="X36" i="7" s="1"/>
  <c r="X56" i="7" s="1"/>
  <c r="Z16" i="7"/>
  <c r="Z17" i="7" s="1"/>
  <c r="Z50" i="7"/>
  <c r="AZ84" i="4"/>
  <c r="AZ83" i="4"/>
  <c r="Y19" i="7"/>
  <c r="Z28" i="7" s="1"/>
  <c r="Y26" i="7"/>
  <c r="Y29" i="7" s="1"/>
  <c r="BG24" i="6"/>
  <c r="BG48" i="7" s="1"/>
  <c r="BJ47" i="6"/>
  <c r="BJ47" i="7" s="1"/>
  <c r="BI71" i="6"/>
  <c r="BI52" i="6"/>
  <c r="BI90" i="6" s="1"/>
  <c r="AW54" i="6"/>
  <c r="AW92" i="6" s="1"/>
  <c r="AW73" i="6"/>
  <c r="BI47" i="6"/>
  <c r="BI47" i="7" s="1"/>
  <c r="AB60" i="6"/>
  <c r="AB79" i="6"/>
  <c r="AS62" i="6"/>
  <c r="AS100" i="6" s="1"/>
  <c r="AS81" i="6"/>
  <c r="AX58" i="6"/>
  <c r="AX96" i="6" s="1"/>
  <c r="AX77" i="6"/>
  <c r="AC78" i="6"/>
  <c r="AC59" i="6"/>
  <c r="BB57" i="6"/>
  <c r="BB95" i="6" s="1"/>
  <c r="BB76" i="6"/>
  <c r="AQ83" i="6"/>
  <c r="AQ64" i="6"/>
  <c r="AQ102" i="6" s="1"/>
  <c r="Z101" i="6"/>
  <c r="Z66" i="6"/>
  <c r="Z51" i="7" s="1"/>
  <c r="AQ65" i="6"/>
  <c r="AQ103" i="6" s="1"/>
  <c r="AQ84" i="6"/>
  <c r="AZ55" i="6"/>
  <c r="AZ93" i="6" s="1"/>
  <c r="AZ74" i="6"/>
  <c r="BA75" i="6"/>
  <c r="BA56" i="6"/>
  <c r="BA94" i="6" s="1"/>
  <c r="AQ61" i="6"/>
  <c r="AQ99" i="6" s="1"/>
  <c r="AQ80" i="6"/>
  <c r="AD72" i="6"/>
  <c r="AD53" i="6"/>
  <c r="AN70" i="6"/>
  <c r="AN51" i="6"/>
  <c r="AP30" i="3"/>
  <c r="AO24" i="7"/>
  <c r="AO25" i="7" s="1"/>
  <c r="AP10" i="7"/>
  <c r="AX57" i="2"/>
  <c r="AX65" i="2" s="1"/>
  <c r="AY55" i="2"/>
  <c r="BA68" i="4"/>
  <c r="BA66" i="4"/>
  <c r="BA67" i="4" s="1"/>
  <c r="BA65" i="4"/>
  <c r="BA64" i="4"/>
  <c r="BA63" i="4"/>
  <c r="BA62" i="4"/>
  <c r="AZ69" i="4"/>
  <c r="AZ76" i="4" s="1"/>
  <c r="BB59" i="4"/>
  <c r="BB61" i="4" s="1"/>
  <c r="AZ53" i="2"/>
  <c r="AZ85" i="4" s="1"/>
  <c r="AZ54" i="2"/>
  <c r="AZ56" i="2"/>
  <c r="AZ52" i="2"/>
  <c r="AZ51" i="2"/>
  <c r="AZ49" i="2"/>
  <c r="AZ50" i="2"/>
  <c r="BA47" i="2"/>
  <c r="AO15" i="7" l="1"/>
  <c r="AP15" i="4"/>
  <c r="AP73" i="4" s="1"/>
  <c r="AN24" i="4"/>
  <c r="AN74" i="4" s="1"/>
  <c r="AN77" i="4" s="1"/>
  <c r="AP12" i="7" s="1"/>
  <c r="AR9" i="7"/>
  <c r="AR23" i="7" s="1"/>
  <c r="AP24" i="4"/>
  <c r="AP74" i="4" s="1"/>
  <c r="AY82" i="4"/>
  <c r="AY87" i="4" s="1"/>
  <c r="BA27" i="7" s="1"/>
  <c r="AZ81" i="4"/>
  <c r="D6" i="8"/>
  <c r="Y55" i="7"/>
  <c r="Z53" i="7"/>
  <c r="AO34" i="7"/>
  <c r="D4" i="8"/>
  <c r="AP11" i="7"/>
  <c r="BA84" i="4"/>
  <c r="BA83" i="4"/>
  <c r="BA86" i="4"/>
  <c r="AO30" i="3"/>
  <c r="BH24" i="6"/>
  <c r="BH48" i="7" s="1"/>
  <c r="AX54" i="6"/>
  <c r="AX92" i="6" s="1"/>
  <c r="AX73" i="6"/>
  <c r="BJ52" i="6"/>
  <c r="BJ90" i="6" s="1"/>
  <c r="BJ71" i="6"/>
  <c r="BA55" i="6"/>
  <c r="BA93" i="6" s="1"/>
  <c r="BA74" i="6"/>
  <c r="AA82" i="6"/>
  <c r="AA85" i="6" s="1"/>
  <c r="AA63" i="6"/>
  <c r="Z104" i="6"/>
  <c r="AC97" i="6"/>
  <c r="AY58" i="6"/>
  <c r="AY96" i="6" s="1"/>
  <c r="AY77" i="6"/>
  <c r="AR61" i="6"/>
  <c r="AR99" i="6" s="1"/>
  <c r="AR80" i="6"/>
  <c r="AR84" i="6"/>
  <c r="AR65" i="6"/>
  <c r="AR103" i="6" s="1"/>
  <c r="AT81" i="6"/>
  <c r="AT62" i="6"/>
  <c r="AT100" i="6" s="1"/>
  <c r="AR64" i="6"/>
  <c r="AR102" i="6" s="1"/>
  <c r="AR83" i="6"/>
  <c r="BB75" i="6"/>
  <c r="BB56" i="6"/>
  <c r="BB94" i="6" s="1"/>
  <c r="BC57" i="6"/>
  <c r="BC95" i="6" s="1"/>
  <c r="BC76" i="6"/>
  <c r="AB98" i="6"/>
  <c r="AD91" i="6"/>
  <c r="AN89" i="6"/>
  <c r="AQ30" i="3"/>
  <c r="AP24" i="7"/>
  <c r="AP25" i="7" s="1"/>
  <c r="AY57" i="2"/>
  <c r="AY65" i="2" s="1"/>
  <c r="AQ10" i="7"/>
  <c r="AZ55" i="2"/>
  <c r="AZ82" i="4" s="1"/>
  <c r="BB68" i="4"/>
  <c r="BB66" i="4"/>
  <c r="BB67" i="4" s="1"/>
  <c r="BB64" i="4"/>
  <c r="BB63" i="4"/>
  <c r="BB62" i="4"/>
  <c r="BB65" i="4"/>
  <c r="BB86" i="4" s="1"/>
  <c r="BA69" i="4"/>
  <c r="BA76" i="4" s="1"/>
  <c r="BC59" i="4"/>
  <c r="BC61" i="4" s="1"/>
  <c r="BA54" i="2"/>
  <c r="BA53" i="2"/>
  <c r="BB47" i="2"/>
  <c r="BA56" i="2"/>
  <c r="BA49" i="2"/>
  <c r="BA52" i="2"/>
  <c r="BA50" i="2"/>
  <c r="BA51" i="2"/>
  <c r="AO38" i="4" l="1"/>
  <c r="AO75" i="4" s="1"/>
  <c r="AP15" i="7"/>
  <c r="AP38" i="4"/>
  <c r="AP75" i="4" s="1"/>
  <c r="AP77" i="4" s="1"/>
  <c r="AR12" i="7" s="1"/>
  <c r="AQ15" i="4"/>
  <c r="AQ73" i="4" s="1"/>
  <c r="AO15" i="4"/>
  <c r="AO73" i="4" s="1"/>
  <c r="AQ9" i="7"/>
  <c r="AQ11" i="7" s="1"/>
  <c r="AS9" i="7"/>
  <c r="AS23" i="7" s="1"/>
  <c r="AS33" i="7" s="1"/>
  <c r="AZ87" i="4"/>
  <c r="BB27" i="7" s="1"/>
  <c r="BA81" i="4"/>
  <c r="BA85" i="4"/>
  <c r="AP34" i="7"/>
  <c r="AA50" i="7"/>
  <c r="AA16" i="7"/>
  <c r="Y35" i="7"/>
  <c r="Y36" i="7" s="1"/>
  <c r="Y56" i="7" s="1"/>
  <c r="BB84" i="4"/>
  <c r="BB83" i="4"/>
  <c r="AZ57" i="2"/>
  <c r="AZ65" i="2" s="1"/>
  <c r="BI24" i="6"/>
  <c r="BI48" i="7" s="1"/>
  <c r="BK52" i="6"/>
  <c r="BK90" i="6" s="1"/>
  <c r="BL52" i="6" s="1"/>
  <c r="BL90" i="6" s="1"/>
  <c r="BM52" i="6" s="1"/>
  <c r="BM90" i="6" s="1"/>
  <c r="BN52" i="6" s="1"/>
  <c r="BN90" i="6" s="1"/>
  <c r="BO52" i="6" s="1"/>
  <c r="BO90" i="6" s="1"/>
  <c r="BP52" i="6" s="1"/>
  <c r="BP90" i="6" s="1"/>
  <c r="BQ52" i="6" s="1"/>
  <c r="BQ90" i="6" s="1"/>
  <c r="BR52" i="6" s="1"/>
  <c r="BR90" i="6" s="1"/>
  <c r="BS52" i="6" s="1"/>
  <c r="BS90" i="6" s="1"/>
  <c r="BT52" i="6" s="1"/>
  <c r="BT90" i="6" s="1"/>
  <c r="BU52" i="6" s="1"/>
  <c r="BU90" i="6" s="1"/>
  <c r="BV52" i="6" s="1"/>
  <c r="BV90" i="6" s="1"/>
  <c r="BW52" i="6" s="1"/>
  <c r="BW90" i="6" s="1"/>
  <c r="BK71" i="6"/>
  <c r="BK47" i="6"/>
  <c r="BK47" i="7" s="1"/>
  <c r="AY73" i="6"/>
  <c r="AY54" i="6"/>
  <c r="AY92" i="6" s="1"/>
  <c r="AU81" i="6"/>
  <c r="AU62" i="6"/>
  <c r="AU100" i="6" s="1"/>
  <c r="AS80" i="6"/>
  <c r="AS61" i="6"/>
  <c r="AS99" i="6" s="1"/>
  <c r="BD57" i="6"/>
  <c r="BD95" i="6" s="1"/>
  <c r="BD76" i="6"/>
  <c r="AS84" i="6"/>
  <c r="AS65" i="6"/>
  <c r="AS103" i="6" s="1"/>
  <c r="AA101" i="6"/>
  <c r="AA66" i="6"/>
  <c r="AA51" i="7" s="1"/>
  <c r="BC56" i="6"/>
  <c r="BC94" i="6" s="1"/>
  <c r="BC75" i="6"/>
  <c r="AD78" i="6"/>
  <c r="AD59" i="6"/>
  <c r="AZ77" i="6"/>
  <c r="AZ58" i="6"/>
  <c r="AZ96" i="6" s="1"/>
  <c r="AC60" i="6"/>
  <c r="AC79" i="6"/>
  <c r="Z18" i="7"/>
  <c r="AS64" i="6"/>
  <c r="AS102" i="6" s="1"/>
  <c r="AS83" i="6"/>
  <c r="BB55" i="6"/>
  <c r="BB93" i="6" s="1"/>
  <c r="BB74" i="6"/>
  <c r="AE72" i="6"/>
  <c r="AE53" i="6"/>
  <c r="AO70" i="6"/>
  <c r="AO51" i="6"/>
  <c r="AQ24" i="7"/>
  <c r="AQ25" i="7" s="1"/>
  <c r="AR10" i="7"/>
  <c r="BA55" i="2"/>
  <c r="BA82" i="4" s="1"/>
  <c r="BD59" i="4"/>
  <c r="BD61" i="4" s="1"/>
  <c r="BB69" i="4"/>
  <c r="BB76" i="4" s="1"/>
  <c r="BC68" i="4"/>
  <c r="BC66" i="4"/>
  <c r="BC64" i="4"/>
  <c r="BC63" i="4"/>
  <c r="BC62" i="4"/>
  <c r="BC65" i="4"/>
  <c r="BC86" i="4" s="1"/>
  <c r="BB54" i="2"/>
  <c r="BB81" i="4" s="1"/>
  <c r="BB53" i="2"/>
  <c r="BB85" i="4" s="1"/>
  <c r="BB56" i="2"/>
  <c r="BB49" i="2"/>
  <c r="BB52" i="2"/>
  <c r="BB50" i="2"/>
  <c r="BB51" i="2"/>
  <c r="BC47" i="2"/>
  <c r="AO24" i="4" l="1"/>
  <c r="AO74" i="4" s="1"/>
  <c r="AO77" i="4" s="1"/>
  <c r="AQ12" i="7" s="1"/>
  <c r="AQ15" i="7" s="1"/>
  <c r="AQ23" i="7"/>
  <c r="AR33" i="7" s="1"/>
  <c r="AQ24" i="4"/>
  <c r="AQ74" i="4" s="1"/>
  <c r="AQ38" i="4"/>
  <c r="AQ75" i="4" s="1"/>
  <c r="BA87" i="4"/>
  <c r="BC27" i="7" s="1"/>
  <c r="AA53" i="7"/>
  <c r="Z55" i="7"/>
  <c r="AR11" i="7"/>
  <c r="AR15" i="7" s="1"/>
  <c r="AQ34" i="7"/>
  <c r="AA17" i="7"/>
  <c r="E17" i="10" s="1"/>
  <c r="E16" i="10"/>
  <c r="BC67" i="4"/>
  <c r="BC69" i="4" s="1"/>
  <c r="BC76" i="4" s="1"/>
  <c r="BC83" i="4"/>
  <c r="Z19" i="7"/>
  <c r="AA28" i="7" s="1"/>
  <c r="E27" i="10" s="1"/>
  <c r="Z26" i="7"/>
  <c r="Z29" i="7" s="1"/>
  <c r="AR30" i="3"/>
  <c r="BA57" i="2"/>
  <c r="BA65" i="2" s="1"/>
  <c r="BK24" i="6"/>
  <c r="BK48" i="7" s="1"/>
  <c r="BJ24" i="6"/>
  <c r="BJ48" i="7" s="1"/>
  <c r="AZ54" i="6"/>
  <c r="AZ92" i="6" s="1"/>
  <c r="AZ73" i="6"/>
  <c r="AD97" i="6"/>
  <c r="AB63" i="6"/>
  <c r="AB82" i="6"/>
  <c r="AB85" i="6" s="1"/>
  <c r="AA104" i="6"/>
  <c r="BE76" i="6"/>
  <c r="BE57" i="6"/>
  <c r="BE95" i="6" s="1"/>
  <c r="AT61" i="6"/>
  <c r="AT99" i="6" s="1"/>
  <c r="AT80" i="6"/>
  <c r="AT65" i="6"/>
  <c r="AT103" i="6" s="1"/>
  <c r="AT84" i="6"/>
  <c r="AV62" i="6"/>
  <c r="AV100" i="6" s="1"/>
  <c r="AV81" i="6"/>
  <c r="AC98" i="6"/>
  <c r="BA58" i="6"/>
  <c r="BA96" i="6" s="1"/>
  <c r="BA77" i="6"/>
  <c r="BC55" i="6"/>
  <c r="BC93" i="6" s="1"/>
  <c r="BC74" i="6"/>
  <c r="AT64" i="6"/>
  <c r="AT102" i="6" s="1"/>
  <c r="AT83" i="6"/>
  <c r="BD75" i="6"/>
  <c r="BD56" i="6"/>
  <c r="BD94" i="6" s="1"/>
  <c r="AE91" i="6"/>
  <c r="AO89" i="6"/>
  <c r="AR24" i="7"/>
  <c r="AR25" i="7" s="1"/>
  <c r="AS10" i="7"/>
  <c r="BB55" i="2"/>
  <c r="BE59" i="4"/>
  <c r="BE61" i="4" s="1"/>
  <c r="BD68" i="4"/>
  <c r="BD66" i="4"/>
  <c r="BD65" i="4"/>
  <c r="BD64" i="4"/>
  <c r="BD63" i="4"/>
  <c r="BD62" i="4"/>
  <c r="BC54" i="2"/>
  <c r="BC81" i="4" s="1"/>
  <c r="BC53" i="2"/>
  <c r="BC85" i="4" s="1"/>
  <c r="BC56" i="2"/>
  <c r="BC50" i="2"/>
  <c r="BC52" i="2"/>
  <c r="BC49" i="2"/>
  <c r="BC51" i="2"/>
  <c r="BD47" i="2"/>
  <c r="E18" i="10" l="1"/>
  <c r="E19" i="10" s="1"/>
  <c r="AQ33" i="7"/>
  <c r="AR38" i="4"/>
  <c r="AR75" i="4" s="1"/>
  <c r="AQ77" i="4"/>
  <c r="AS12" i="7" s="1"/>
  <c r="AR15" i="4"/>
  <c r="AR73" i="4" s="1"/>
  <c r="AT9" i="7"/>
  <c r="AT23" i="7" s="1"/>
  <c r="AT33" i="7" s="1"/>
  <c r="BB82" i="4"/>
  <c r="BB87" i="4" s="1"/>
  <c r="BD27" i="7" s="1"/>
  <c r="AS11" i="7"/>
  <c r="AR34" i="7"/>
  <c r="AB16" i="7"/>
  <c r="AB50" i="7"/>
  <c r="BD86" i="4"/>
  <c r="BD67" i="4"/>
  <c r="BD84" i="4" s="1"/>
  <c r="BD83" i="4"/>
  <c r="BC84" i="4"/>
  <c r="BB57" i="2"/>
  <c r="BB65" i="2" s="1"/>
  <c r="AS30" i="3"/>
  <c r="AA18" i="7"/>
  <c r="BA73" i="6"/>
  <c r="BA54" i="6"/>
  <c r="BA92" i="6" s="1"/>
  <c r="AW62" i="6"/>
  <c r="AW100" i="6" s="1"/>
  <c r="AW81" i="6"/>
  <c r="AU64" i="6"/>
  <c r="AU102" i="6" s="1"/>
  <c r="AU83" i="6"/>
  <c r="AU61" i="6"/>
  <c r="AU99" i="6" s="1"/>
  <c r="AU80" i="6"/>
  <c r="BF57" i="6"/>
  <c r="BF95" i="6" s="1"/>
  <c r="BF76" i="6"/>
  <c r="BE56" i="6"/>
  <c r="BE94" i="6" s="1"/>
  <c r="BE75" i="6"/>
  <c r="AD60" i="6"/>
  <c r="AD79" i="6"/>
  <c r="AU84" i="6"/>
  <c r="AU65" i="6"/>
  <c r="AU103" i="6" s="1"/>
  <c r="AB101" i="6"/>
  <c r="AB66" i="6"/>
  <c r="AB51" i="7" s="1"/>
  <c r="BB58" i="6"/>
  <c r="BB96" i="6" s="1"/>
  <c r="BB77" i="6"/>
  <c r="BD55" i="6"/>
  <c r="BD93" i="6" s="1"/>
  <c r="BD74" i="6"/>
  <c r="AE59" i="6"/>
  <c r="AE78" i="6"/>
  <c r="AF72" i="6"/>
  <c r="AF53" i="6"/>
  <c r="AP70" i="6"/>
  <c r="AP51" i="6"/>
  <c r="AT30" i="3"/>
  <c r="AS24" i="7"/>
  <c r="AT10" i="7"/>
  <c r="BC55" i="2"/>
  <c r="BC82" i="4" s="1"/>
  <c r="BE68" i="4"/>
  <c r="BE66" i="4"/>
  <c r="BE65" i="4"/>
  <c r="BE86" i="4" s="1"/>
  <c r="BE64" i="4"/>
  <c r="BE63" i="4"/>
  <c r="BE62" i="4"/>
  <c r="BF59" i="4"/>
  <c r="BF61" i="4" s="1"/>
  <c r="BD53" i="2"/>
  <c r="BD54" i="2"/>
  <c r="BE47" i="2"/>
  <c r="BD56" i="2"/>
  <c r="BD52" i="2"/>
  <c r="BD51" i="2"/>
  <c r="BD50" i="2"/>
  <c r="BD49" i="2"/>
  <c r="BC87" i="4" l="1"/>
  <c r="BE27" i="7" s="1"/>
  <c r="AT15" i="4"/>
  <c r="AT73" i="4" s="1"/>
  <c r="AS15" i="4"/>
  <c r="AS73" i="4" s="1"/>
  <c r="AR24" i="4"/>
  <c r="AR74" i="4" s="1"/>
  <c r="AR77" i="4" s="1"/>
  <c r="AT12" i="7" s="1"/>
  <c r="AS38" i="4"/>
  <c r="AS75" i="4" s="1"/>
  <c r="AV9" i="7"/>
  <c r="AV23" i="7" s="1"/>
  <c r="AT24" i="4"/>
  <c r="AT74" i="4" s="1"/>
  <c r="AU9" i="7"/>
  <c r="AU23" i="7" s="1"/>
  <c r="AU33" i="7" s="1"/>
  <c r="BD69" i="4"/>
  <c r="BD76" i="4" s="1"/>
  <c r="BD85" i="4"/>
  <c r="BD81" i="4"/>
  <c r="AT11" i="7"/>
  <c r="AS15" i="7"/>
  <c r="Z35" i="7"/>
  <c r="Z36" i="7" s="1"/>
  <c r="Z56" i="7" s="1"/>
  <c r="AB17" i="7"/>
  <c r="AB18" i="7" s="1"/>
  <c r="BE67" i="4"/>
  <c r="BE84" i="4" s="1"/>
  <c r="BE83" i="4"/>
  <c r="AA19" i="7"/>
  <c r="AA26" i="7"/>
  <c r="AA29" i="7" s="1"/>
  <c r="BB54" i="6"/>
  <c r="BB92" i="6" s="1"/>
  <c r="BB73" i="6"/>
  <c r="BE55" i="6"/>
  <c r="BE93" i="6" s="1"/>
  <c r="BE74" i="6"/>
  <c r="AD98" i="6"/>
  <c r="BG57" i="6"/>
  <c r="BG95" i="6" s="1"/>
  <c r="BG76" i="6"/>
  <c r="AV64" i="6"/>
  <c r="AV102" i="6" s="1"/>
  <c r="AV83" i="6"/>
  <c r="AC63" i="6"/>
  <c r="AC82" i="6"/>
  <c r="AC85" i="6" s="1"/>
  <c r="AB104" i="6"/>
  <c r="AV84" i="6"/>
  <c r="AV65" i="6"/>
  <c r="AV103" i="6" s="1"/>
  <c r="AE97" i="6"/>
  <c r="BC58" i="6"/>
  <c r="BC96" i="6" s="1"/>
  <c r="BC77" i="6"/>
  <c r="BF56" i="6"/>
  <c r="BF94" i="6" s="1"/>
  <c r="BF75" i="6"/>
  <c r="AV80" i="6"/>
  <c r="AV61" i="6"/>
  <c r="AV99" i="6" s="1"/>
  <c r="AX81" i="6"/>
  <c r="AX62" i="6"/>
  <c r="AX100" i="6" s="1"/>
  <c r="AF91" i="6"/>
  <c r="AP89" i="6"/>
  <c r="AS25" i="7"/>
  <c r="AS34" i="7" s="1"/>
  <c r="AT24" i="7"/>
  <c r="AT25" i="7" s="1"/>
  <c r="BC57" i="2"/>
  <c r="BC65" i="2" s="1"/>
  <c r="AU10" i="7"/>
  <c r="BD55" i="2"/>
  <c r="BF65" i="4"/>
  <c r="BF86" i="4" s="1"/>
  <c r="BF63" i="4"/>
  <c r="BF62" i="4"/>
  <c r="BF68" i="4"/>
  <c r="BF66" i="4"/>
  <c r="BF64" i="4"/>
  <c r="BG59" i="4"/>
  <c r="BG61" i="4" s="1"/>
  <c r="BE54" i="2"/>
  <c r="BE81" i="4" s="1"/>
  <c r="BE53" i="2"/>
  <c r="BE56" i="2"/>
  <c r="BE51" i="2"/>
  <c r="BE50" i="2"/>
  <c r="BE49" i="2"/>
  <c r="BE52" i="2"/>
  <c r="BF47" i="2"/>
  <c r="AT15" i="7" l="1"/>
  <c r="AT38" i="4"/>
  <c r="AT75" i="4" s="1"/>
  <c r="AT77" i="4" s="1"/>
  <c r="AV12" i="7" s="1"/>
  <c r="AS24" i="4"/>
  <c r="AS74" i="4" s="1"/>
  <c r="AS77" i="4" s="1"/>
  <c r="AU12" i="7" s="1"/>
  <c r="AV33" i="7"/>
  <c r="BE85" i="4"/>
  <c r="BD82" i="4"/>
  <c r="BD87" i="4" s="1"/>
  <c r="BF27" i="7" s="1"/>
  <c r="AA55" i="7"/>
  <c r="AB53" i="7"/>
  <c r="AB28" i="7"/>
  <c r="AU11" i="7"/>
  <c r="AT34" i="7"/>
  <c r="AC50" i="7"/>
  <c r="AC16" i="7"/>
  <c r="BE69" i="4"/>
  <c r="BE76" i="4" s="1"/>
  <c r="BF67" i="4"/>
  <c r="BF84" i="4" s="1"/>
  <c r="BF83" i="4"/>
  <c r="E25" i="10"/>
  <c r="AB26" i="7"/>
  <c r="AB19" i="7"/>
  <c r="BC54" i="6"/>
  <c r="BC92" i="6" s="1"/>
  <c r="BC73" i="6"/>
  <c r="AY62" i="6"/>
  <c r="AY100" i="6" s="1"/>
  <c r="AY81" i="6"/>
  <c r="AW65" i="6"/>
  <c r="AW103" i="6" s="1"/>
  <c r="AW84" i="6"/>
  <c r="AC101" i="6"/>
  <c r="AC66" i="6"/>
  <c r="AC51" i="7" s="1"/>
  <c r="AE79" i="6"/>
  <c r="AE60" i="6"/>
  <c r="BD58" i="6"/>
  <c r="BD96" i="6" s="1"/>
  <c r="BD77" i="6"/>
  <c r="BH76" i="6"/>
  <c r="BH57" i="6"/>
  <c r="BH95" i="6" s="1"/>
  <c r="BF55" i="6"/>
  <c r="BF93" i="6" s="1"/>
  <c r="BF74" i="6"/>
  <c r="AF59" i="6"/>
  <c r="AF78" i="6"/>
  <c r="AW64" i="6"/>
  <c r="AW102" i="6" s="1"/>
  <c r="AW83" i="6"/>
  <c r="BG56" i="6"/>
  <c r="BG94" i="6" s="1"/>
  <c r="BG75" i="6"/>
  <c r="AW61" i="6"/>
  <c r="AW99" i="6" s="1"/>
  <c r="AW80" i="6"/>
  <c r="AG72" i="6"/>
  <c r="AG53" i="6"/>
  <c r="AQ51" i="6"/>
  <c r="AQ70" i="6"/>
  <c r="AU24" i="7"/>
  <c r="AU25" i="7" s="1"/>
  <c r="AV10" i="7"/>
  <c r="BD57" i="2"/>
  <c r="BD65" i="2" s="1"/>
  <c r="BE55" i="2"/>
  <c r="BE82" i="4" s="1"/>
  <c r="BG65" i="4"/>
  <c r="BG86" i="4" s="1"/>
  <c r="BG63" i="4"/>
  <c r="BG62" i="4"/>
  <c r="BG68" i="4"/>
  <c r="BG66" i="4"/>
  <c r="BG64" i="4"/>
  <c r="BI59" i="4"/>
  <c r="BI61" i="4" s="1"/>
  <c r="BH59" i="4"/>
  <c r="BH61" i="4" s="1"/>
  <c r="BF53" i="2"/>
  <c r="BF85" i="4" s="1"/>
  <c r="BF54" i="2"/>
  <c r="BF81" i="4" s="1"/>
  <c r="BF56" i="2"/>
  <c r="BF49" i="2"/>
  <c r="BF52" i="2"/>
  <c r="BF50" i="2"/>
  <c r="BF51" i="2"/>
  <c r="BG47" i="2"/>
  <c r="BE87" i="4" l="1"/>
  <c r="BG27" i="7" s="1"/>
  <c r="AU15" i="7"/>
  <c r="AB29" i="7"/>
  <c r="AB35" i="7" s="1"/>
  <c r="AB36" i="7" s="1"/>
  <c r="AU34" i="7"/>
  <c r="AC28" i="7"/>
  <c r="AC53" i="7"/>
  <c r="AV11" i="7"/>
  <c r="AV15" i="7" s="1"/>
  <c r="C5" i="8"/>
  <c r="AC17" i="7"/>
  <c r="AC18" i="7" s="1"/>
  <c r="E28" i="10"/>
  <c r="E33" i="10" s="1"/>
  <c r="AA35" i="7"/>
  <c r="AA36" i="7" s="1"/>
  <c r="AA56" i="7" s="1"/>
  <c r="BF69" i="4"/>
  <c r="BF76" i="4" s="1"/>
  <c r="BG67" i="4"/>
  <c r="BG84" i="4" s="1"/>
  <c r="BG83" i="4"/>
  <c r="AU30" i="3"/>
  <c r="AV30" i="3"/>
  <c r="BD73" i="6"/>
  <c r="BD54" i="6"/>
  <c r="BD92" i="6" s="1"/>
  <c r="BI76" i="6"/>
  <c r="BI57" i="6"/>
  <c r="BI95" i="6" s="1"/>
  <c r="AZ62" i="6"/>
  <c r="AZ100" i="6" s="1"/>
  <c r="AZ81" i="6"/>
  <c r="BG55" i="6"/>
  <c r="BG93" i="6" s="1"/>
  <c r="BG74" i="6"/>
  <c r="AE98" i="6"/>
  <c r="BH75" i="6"/>
  <c r="BH56" i="6"/>
  <c r="BH94" i="6" s="1"/>
  <c r="AF97" i="6"/>
  <c r="BE77" i="6"/>
  <c r="BE58" i="6"/>
  <c r="BE96" i="6" s="1"/>
  <c r="AX80" i="6"/>
  <c r="AX61" i="6"/>
  <c r="AX99" i="6" s="1"/>
  <c r="AX64" i="6"/>
  <c r="AX102" i="6" s="1"/>
  <c r="AX83" i="6"/>
  <c r="AD63" i="6"/>
  <c r="AD82" i="6"/>
  <c r="AD85" i="6" s="1"/>
  <c r="AC104" i="6"/>
  <c r="AX65" i="6"/>
  <c r="AX103" i="6" s="1"/>
  <c r="AX84" i="6"/>
  <c r="AG91" i="6"/>
  <c r="AQ89" i="6"/>
  <c r="AV24" i="7"/>
  <c r="AV25" i="7" s="1"/>
  <c r="BE57" i="2"/>
  <c r="BE65" i="2" s="1"/>
  <c r="AW10" i="7"/>
  <c r="BF55" i="2"/>
  <c r="BF82" i="4" s="1"/>
  <c r="BF87" i="4" s="1"/>
  <c r="BH27" i="7" s="1"/>
  <c r="BH68" i="4"/>
  <c r="BH66" i="4"/>
  <c r="BH65" i="4"/>
  <c r="BH86" i="4" s="1"/>
  <c r="BH64" i="4"/>
  <c r="BH63" i="4"/>
  <c r="BH62" i="4"/>
  <c r="BI68" i="4"/>
  <c r="BI66" i="4"/>
  <c r="BI65" i="4"/>
  <c r="BI64" i="4"/>
  <c r="BI63" i="4"/>
  <c r="BI62" i="4"/>
  <c r="BG54" i="2"/>
  <c r="BG81" i="4" s="1"/>
  <c r="BG53" i="2"/>
  <c r="BG56" i="2"/>
  <c r="BG51" i="2"/>
  <c r="BG49" i="2"/>
  <c r="BG50" i="2"/>
  <c r="BG52" i="2"/>
  <c r="BH47" i="2"/>
  <c r="AU38" i="4" l="1"/>
  <c r="AU75" i="4" s="1"/>
  <c r="BG69" i="4"/>
  <c r="BG76" i="4" s="1"/>
  <c r="AU15" i="4"/>
  <c r="AU73" i="4" s="1"/>
  <c r="AV15" i="4"/>
  <c r="AV73" i="4" s="1"/>
  <c r="AV38" i="4"/>
  <c r="AV75" i="4" s="1"/>
  <c r="AW9" i="7"/>
  <c r="AW23" i="7" s="1"/>
  <c r="AW33" i="7" s="1"/>
  <c r="AX9" i="7"/>
  <c r="AX23" i="7" s="1"/>
  <c r="BG85" i="4"/>
  <c r="BF57" i="2"/>
  <c r="BF65" i="2" s="1"/>
  <c r="AB55" i="7"/>
  <c r="AB56" i="7" s="1"/>
  <c r="AV34" i="7"/>
  <c r="AD16" i="7"/>
  <c r="AD50" i="7"/>
  <c r="BH67" i="4"/>
  <c r="BH84" i="4" s="1"/>
  <c r="BH83" i="4"/>
  <c r="BI67" i="4"/>
  <c r="BI69" i="4" s="1"/>
  <c r="BI76" i="4" s="1"/>
  <c r="BI83" i="4"/>
  <c r="BI86" i="4"/>
  <c r="AC19" i="7"/>
  <c r="AC26" i="7"/>
  <c r="AC29" i="7" s="1"/>
  <c r="BE73" i="6"/>
  <c r="BE54" i="6"/>
  <c r="BE92" i="6" s="1"/>
  <c r="BF58" i="6"/>
  <c r="BF96" i="6" s="1"/>
  <c r="BF77" i="6"/>
  <c r="AY84" i="6"/>
  <c r="AY65" i="6"/>
  <c r="AY103" i="6" s="1"/>
  <c r="AD101" i="6"/>
  <c r="AD66" i="6"/>
  <c r="AD51" i="7" s="1"/>
  <c r="BJ76" i="6"/>
  <c r="BJ57" i="6"/>
  <c r="BJ95" i="6" s="1"/>
  <c r="AY83" i="6"/>
  <c r="AY64" i="6"/>
  <c r="AY102" i="6" s="1"/>
  <c r="AF79" i="6"/>
  <c r="AF60" i="6"/>
  <c r="BA62" i="6"/>
  <c r="BA100" i="6" s="1"/>
  <c r="BA81" i="6"/>
  <c r="BH74" i="6"/>
  <c r="BH55" i="6"/>
  <c r="BH93" i="6" s="1"/>
  <c r="AY61" i="6"/>
  <c r="AY99" i="6" s="1"/>
  <c r="AY80" i="6"/>
  <c r="AG78" i="6"/>
  <c r="AG59" i="6"/>
  <c r="BI75" i="6"/>
  <c r="BI56" i="6"/>
  <c r="BI94" i="6" s="1"/>
  <c r="AH72" i="6"/>
  <c r="AH53" i="6"/>
  <c r="AR70" i="6"/>
  <c r="AR51" i="6"/>
  <c r="AW24" i="7"/>
  <c r="AW25" i="7" s="1"/>
  <c r="BI47" i="2"/>
  <c r="BI54" i="2" s="1"/>
  <c r="AX10" i="7"/>
  <c r="BG55" i="2"/>
  <c r="BG82" i="4" s="1"/>
  <c r="BH53" i="2"/>
  <c r="BH85" i="4" s="1"/>
  <c r="BH54" i="2"/>
  <c r="BH81" i="4" s="1"/>
  <c r="BH56" i="2"/>
  <c r="BH49" i="2"/>
  <c r="BH50" i="2"/>
  <c r="BH51" i="2"/>
  <c r="BH52" i="2"/>
  <c r="BG87" i="4" l="1"/>
  <c r="BI27" i="7" s="1"/>
  <c r="AX33" i="7"/>
  <c r="AV24" i="4"/>
  <c r="AV74" i="4" s="1"/>
  <c r="AV77" i="4" s="1"/>
  <c r="AX12" i="7" s="1"/>
  <c r="AW11" i="7"/>
  <c r="BI84" i="4"/>
  <c r="BH69" i="4"/>
  <c r="BH76" i="4" s="1"/>
  <c r="BI81" i="4"/>
  <c r="AC55" i="7"/>
  <c r="AD28" i="7"/>
  <c r="AD53" i="7"/>
  <c r="AW34" i="7"/>
  <c r="AX11" i="7"/>
  <c r="AD17" i="7"/>
  <c r="AD18" i="7" s="1"/>
  <c r="BI51" i="2"/>
  <c r="BG57" i="2"/>
  <c r="BG65" i="2" s="1"/>
  <c r="BI52" i="2"/>
  <c r="AW30" i="3"/>
  <c r="BI53" i="2"/>
  <c r="BI85" i="4" s="1"/>
  <c r="BI49" i="2"/>
  <c r="BI56" i="2"/>
  <c r="BI50" i="2"/>
  <c r="AX30" i="3"/>
  <c r="BF73" i="6"/>
  <c r="BF54" i="6"/>
  <c r="BF92" i="6" s="1"/>
  <c r="AZ83" i="6"/>
  <c r="AZ64" i="6"/>
  <c r="AZ102" i="6" s="1"/>
  <c r="AG97" i="6"/>
  <c r="AE82" i="6"/>
  <c r="AE85" i="6" s="1"/>
  <c r="AE63" i="6"/>
  <c r="AD104" i="6"/>
  <c r="AF98" i="6"/>
  <c r="BJ56" i="6"/>
  <c r="BJ94" i="6" s="1"/>
  <c r="BJ75" i="6"/>
  <c r="BB62" i="6"/>
  <c r="BB100" i="6" s="1"/>
  <c r="BB81" i="6"/>
  <c r="BK57" i="6"/>
  <c r="BK95" i="6" s="1"/>
  <c r="BL57" i="6" s="1"/>
  <c r="BL95" i="6" s="1"/>
  <c r="BM57" i="6" s="1"/>
  <c r="BM95" i="6" s="1"/>
  <c r="BN57" i="6" s="1"/>
  <c r="BN95" i="6" s="1"/>
  <c r="BO57" i="6" s="1"/>
  <c r="BO95" i="6" s="1"/>
  <c r="BP57" i="6" s="1"/>
  <c r="BP95" i="6" s="1"/>
  <c r="BQ57" i="6" s="1"/>
  <c r="BQ95" i="6" s="1"/>
  <c r="BR57" i="6" s="1"/>
  <c r="BR95" i="6" s="1"/>
  <c r="BS57" i="6" s="1"/>
  <c r="BS95" i="6" s="1"/>
  <c r="BT57" i="6" s="1"/>
  <c r="BT95" i="6" s="1"/>
  <c r="BU57" i="6" s="1"/>
  <c r="BU95" i="6" s="1"/>
  <c r="BV57" i="6" s="1"/>
  <c r="BV95" i="6" s="1"/>
  <c r="BW57" i="6" s="1"/>
  <c r="BW95" i="6" s="1"/>
  <c r="BK76" i="6"/>
  <c r="AZ61" i="6"/>
  <c r="AZ99" i="6" s="1"/>
  <c r="AZ80" i="6"/>
  <c r="AZ65" i="6"/>
  <c r="AZ103" i="6" s="1"/>
  <c r="AZ84" i="6"/>
  <c r="BI55" i="6"/>
  <c r="BI93" i="6" s="1"/>
  <c r="BI74" i="6"/>
  <c r="BG58" i="6"/>
  <c r="BG96" i="6" s="1"/>
  <c r="BG77" i="6"/>
  <c r="AH91" i="6"/>
  <c r="AR89" i="6"/>
  <c r="AY30" i="3"/>
  <c r="AX24" i="7"/>
  <c r="AX25" i="7" s="1"/>
  <c r="BH55" i="2"/>
  <c r="BH82" i="4" s="1"/>
  <c r="BH87" i="4" s="1"/>
  <c r="BJ27" i="7" s="1"/>
  <c r="BI55" i="2"/>
  <c r="AU24" i="4" l="1"/>
  <c r="AU74" i="4" s="1"/>
  <c r="AU77" i="4" s="1"/>
  <c r="AW12" i="7" s="1"/>
  <c r="AW15" i="7" s="1"/>
  <c r="AW38" i="4"/>
  <c r="AW75" i="4" s="1"/>
  <c r="AX15" i="7"/>
  <c r="AX15" i="4"/>
  <c r="AX73" i="4" s="1"/>
  <c r="AY15" i="4"/>
  <c r="AY73" i="4" s="1"/>
  <c r="AW15" i="4"/>
  <c r="AW73" i="4" s="1"/>
  <c r="AX38" i="4"/>
  <c r="AX75" i="4" s="1"/>
  <c r="BA9" i="7"/>
  <c r="BA23" i="7" s="1"/>
  <c r="AY9" i="7"/>
  <c r="AY23" i="7" s="1"/>
  <c r="AY33" i="7" s="1"/>
  <c r="AZ9" i="7"/>
  <c r="AZ23" i="7" s="1"/>
  <c r="BI82" i="4"/>
  <c r="BI87" i="4" s="1"/>
  <c r="BK27" i="7" s="1"/>
  <c r="H26" i="10" s="1"/>
  <c r="E34" i="10"/>
  <c r="AX34" i="7"/>
  <c r="AE50" i="7"/>
  <c r="AE16" i="7"/>
  <c r="AC35" i="7"/>
  <c r="AC36" i="7" s="1"/>
  <c r="AC56" i="7" s="1"/>
  <c r="AD19" i="7"/>
  <c r="AD26" i="7"/>
  <c r="AY10" i="7"/>
  <c r="BG54" i="6"/>
  <c r="BG92" i="6" s="1"/>
  <c r="BG73" i="6"/>
  <c r="AG60" i="6"/>
  <c r="AG79" i="6"/>
  <c r="AH59" i="6"/>
  <c r="AH78" i="6"/>
  <c r="BA65" i="6"/>
  <c r="BA103" i="6" s="1"/>
  <c r="BA84" i="6"/>
  <c r="BK75" i="6"/>
  <c r="BK56" i="6"/>
  <c r="BK94" i="6" s="1"/>
  <c r="BL56" i="6" s="1"/>
  <c r="BL94" i="6" s="1"/>
  <c r="BM56" i="6" s="1"/>
  <c r="BM94" i="6" s="1"/>
  <c r="BN56" i="6" s="1"/>
  <c r="BN94" i="6" s="1"/>
  <c r="BO56" i="6" s="1"/>
  <c r="BO94" i="6" s="1"/>
  <c r="BP56" i="6" s="1"/>
  <c r="BP94" i="6" s="1"/>
  <c r="BQ56" i="6" s="1"/>
  <c r="BQ94" i="6" s="1"/>
  <c r="BR56" i="6" s="1"/>
  <c r="BR94" i="6" s="1"/>
  <c r="BS56" i="6" s="1"/>
  <c r="BS94" i="6" s="1"/>
  <c r="BT56" i="6" s="1"/>
  <c r="BT94" i="6" s="1"/>
  <c r="BU56" i="6" s="1"/>
  <c r="BU94" i="6" s="1"/>
  <c r="BV56" i="6" s="1"/>
  <c r="BV94" i="6" s="1"/>
  <c r="BW56" i="6" s="1"/>
  <c r="BW94" i="6" s="1"/>
  <c r="BA64" i="6"/>
  <c r="BA102" i="6" s="1"/>
  <c r="BA83" i="6"/>
  <c r="BH58" i="6"/>
  <c r="BH96" i="6" s="1"/>
  <c r="BH77" i="6"/>
  <c r="BJ74" i="6"/>
  <c r="BJ55" i="6"/>
  <c r="BJ93" i="6" s="1"/>
  <c r="BA80" i="6"/>
  <c r="BA61" i="6"/>
  <c r="BA99" i="6" s="1"/>
  <c r="BC62" i="6"/>
  <c r="BC100" i="6" s="1"/>
  <c r="BC81" i="6"/>
  <c r="AE101" i="6"/>
  <c r="AE66" i="6"/>
  <c r="AE51" i="7" s="1"/>
  <c r="AI53" i="6"/>
  <c r="AI72" i="6"/>
  <c r="AS51" i="6"/>
  <c r="AS70" i="6"/>
  <c r="BI57" i="2"/>
  <c r="BI65" i="2" s="1"/>
  <c r="BH57" i="2"/>
  <c r="BH65" i="2" s="1"/>
  <c r="AZ10" i="7"/>
  <c r="BA33" i="7" l="1"/>
  <c r="AX24" i="4"/>
  <c r="AX74" i="4" s="1"/>
  <c r="AX77" i="4" s="1"/>
  <c r="AZ12" i="7" s="1"/>
  <c r="AW24" i="4"/>
  <c r="AW74" i="4" s="1"/>
  <c r="AW77" i="4" s="1"/>
  <c r="AY12" i="7" s="1"/>
  <c r="G12" i="10" s="1"/>
  <c r="E36" i="10"/>
  <c r="AY24" i="4"/>
  <c r="AY74" i="4" s="1"/>
  <c r="AY38" i="4"/>
  <c r="AY75" i="4" s="1"/>
  <c r="G9" i="10"/>
  <c r="AZ33" i="7"/>
  <c r="AD55" i="7"/>
  <c r="G22" i="10"/>
  <c r="AE53" i="7"/>
  <c r="AD29" i="7"/>
  <c r="AD35" i="7" s="1"/>
  <c r="AD36" i="7" s="1"/>
  <c r="AE28" i="7"/>
  <c r="AY11" i="7"/>
  <c r="G10" i="10"/>
  <c r="AZ11" i="7"/>
  <c r="AY24" i="7"/>
  <c r="G23" i="10" s="1"/>
  <c r="AE17" i="7"/>
  <c r="AE18" i="7" s="1"/>
  <c r="AZ30" i="3"/>
  <c r="BH54" i="6"/>
  <c r="BH92" i="6" s="1"/>
  <c r="BH73" i="6"/>
  <c r="AF82" i="6"/>
  <c r="AF85" i="6" s="1"/>
  <c r="AF63" i="6"/>
  <c r="AE104" i="6"/>
  <c r="BB61" i="6"/>
  <c r="BB99" i="6" s="1"/>
  <c r="BB80" i="6"/>
  <c r="BI58" i="6"/>
  <c r="BI96" i="6" s="1"/>
  <c r="BI77" i="6"/>
  <c r="BK55" i="6"/>
  <c r="BK93" i="6" s="1"/>
  <c r="BL55" i="6" s="1"/>
  <c r="BL93" i="6" s="1"/>
  <c r="BM55" i="6" s="1"/>
  <c r="BM93" i="6" s="1"/>
  <c r="BN55" i="6" s="1"/>
  <c r="BN93" i="6" s="1"/>
  <c r="BO55" i="6" s="1"/>
  <c r="BO93" i="6" s="1"/>
  <c r="BP55" i="6" s="1"/>
  <c r="BP93" i="6" s="1"/>
  <c r="BQ55" i="6" s="1"/>
  <c r="BQ93" i="6" s="1"/>
  <c r="BR55" i="6" s="1"/>
  <c r="BR93" i="6" s="1"/>
  <c r="BS55" i="6" s="1"/>
  <c r="BS93" i="6" s="1"/>
  <c r="BT55" i="6" s="1"/>
  <c r="BT93" i="6" s="1"/>
  <c r="BU55" i="6" s="1"/>
  <c r="BU93" i="6" s="1"/>
  <c r="BV55" i="6" s="1"/>
  <c r="BV93" i="6" s="1"/>
  <c r="BW55" i="6" s="1"/>
  <c r="BW93" i="6" s="1"/>
  <c r="BK74" i="6"/>
  <c r="AH97" i="6"/>
  <c r="BD81" i="6"/>
  <c r="BD62" i="6"/>
  <c r="BD100" i="6" s="1"/>
  <c r="BB83" i="6"/>
  <c r="BB64" i="6"/>
  <c r="BB102" i="6" s="1"/>
  <c r="BB65" i="6"/>
  <c r="BB103" i="6" s="1"/>
  <c r="BB84" i="6"/>
  <c r="AG98" i="6"/>
  <c r="AI91" i="6"/>
  <c r="AS89" i="6"/>
  <c r="BA30" i="3"/>
  <c r="AZ24" i="7"/>
  <c r="BA10" i="7"/>
  <c r="G60" i="7" l="1"/>
  <c r="AY77" i="4"/>
  <c r="BA12" i="7" s="1"/>
  <c r="AZ38" i="4"/>
  <c r="AZ75" i="4" s="1"/>
  <c r="AZ15" i="4"/>
  <c r="AZ73" i="4" s="1"/>
  <c r="BA15" i="4"/>
  <c r="BA73" i="4" s="1"/>
  <c r="BB9" i="7"/>
  <c r="BB23" i="7" s="1"/>
  <c r="BB33" i="7" s="1"/>
  <c r="BC9" i="7"/>
  <c r="BC23" i="7" s="1"/>
  <c r="AD56" i="7"/>
  <c r="AE55" i="7" s="1"/>
  <c r="AZ15" i="7"/>
  <c r="BA11" i="7"/>
  <c r="AY25" i="7"/>
  <c r="G24" i="10" s="1"/>
  <c r="AZ25" i="7"/>
  <c r="AY15" i="7"/>
  <c r="G15" i="10" s="1"/>
  <c r="G11" i="10"/>
  <c r="E3" i="8" s="1"/>
  <c r="AF16" i="7"/>
  <c r="AF50" i="7"/>
  <c r="AE19" i="7"/>
  <c r="AE26" i="7"/>
  <c r="BI54" i="6"/>
  <c r="BI92" i="6" s="1"/>
  <c r="BI73" i="6"/>
  <c r="BJ58" i="6"/>
  <c r="BJ96" i="6" s="1"/>
  <c r="BJ77" i="6"/>
  <c r="AH60" i="6"/>
  <c r="AH79" i="6"/>
  <c r="AF101" i="6"/>
  <c r="AF66" i="6"/>
  <c r="AF51" i="7" s="1"/>
  <c r="BC84" i="6"/>
  <c r="BC65" i="6"/>
  <c r="BC103" i="6" s="1"/>
  <c r="BC80" i="6"/>
  <c r="BC61" i="6"/>
  <c r="BC99" i="6" s="1"/>
  <c r="BC64" i="6"/>
  <c r="BC102" i="6" s="1"/>
  <c r="BC83" i="6"/>
  <c r="BE62" i="6"/>
  <c r="BE100" i="6" s="1"/>
  <c r="BE81" i="6"/>
  <c r="AI59" i="6"/>
  <c r="AI78" i="6"/>
  <c r="AJ72" i="6"/>
  <c r="AJ53" i="6"/>
  <c r="AT70" i="6"/>
  <c r="AT51" i="6"/>
  <c r="BB30" i="3"/>
  <c r="BA24" i="7"/>
  <c r="BA25" i="7" s="1"/>
  <c r="BB10" i="7"/>
  <c r="BA24" i="4" l="1"/>
  <c r="BA74" i="4" s="1"/>
  <c r="BA15" i="7"/>
  <c r="BB15" i="4"/>
  <c r="BB73" i="4" s="1"/>
  <c r="AZ24" i="4"/>
  <c r="AZ74" i="4" s="1"/>
  <c r="AZ77" i="4" s="1"/>
  <c r="BB12" i="7" s="1"/>
  <c r="BA38" i="4"/>
  <c r="BA75" i="4" s="1"/>
  <c r="BD9" i="7"/>
  <c r="BD23" i="7" s="1"/>
  <c r="BC33" i="7"/>
  <c r="AZ34" i="7"/>
  <c r="E6" i="8"/>
  <c r="G31" i="10"/>
  <c r="AY34" i="7"/>
  <c r="E4" i="8"/>
  <c r="AE29" i="7"/>
  <c r="AE35" i="7" s="1"/>
  <c r="AE36" i="7" s="1"/>
  <c r="AE56" i="7" s="1"/>
  <c r="AF28" i="7"/>
  <c r="AF53" i="7"/>
  <c r="BB11" i="7"/>
  <c r="BA34" i="7"/>
  <c r="AF17" i="7"/>
  <c r="AF18" i="7" s="1"/>
  <c r="BJ54" i="6"/>
  <c r="BJ92" i="6" s="1"/>
  <c r="BJ73" i="6"/>
  <c r="BD80" i="6"/>
  <c r="BD61" i="6"/>
  <c r="BD99" i="6" s="1"/>
  <c r="AH98" i="6"/>
  <c r="BF81" i="6"/>
  <c r="BF62" i="6"/>
  <c r="BF100" i="6" s="1"/>
  <c r="BD84" i="6"/>
  <c r="BD65" i="6"/>
  <c r="BD103" i="6" s="1"/>
  <c r="AG82" i="6"/>
  <c r="AG85" i="6" s="1"/>
  <c r="AG63" i="6"/>
  <c r="AF104" i="6"/>
  <c r="AI97" i="6"/>
  <c r="BD64" i="6"/>
  <c r="BD102" i="6" s="1"/>
  <c r="BD83" i="6"/>
  <c r="BK77" i="6"/>
  <c r="BK58" i="6"/>
  <c r="BK96" i="6" s="1"/>
  <c r="BL58" i="6" s="1"/>
  <c r="BL96" i="6" s="1"/>
  <c r="BM58" i="6" s="1"/>
  <c r="BM96" i="6" s="1"/>
  <c r="BN58" i="6" s="1"/>
  <c r="BN96" i="6" s="1"/>
  <c r="BO58" i="6" s="1"/>
  <c r="BO96" i="6" s="1"/>
  <c r="BP58" i="6" s="1"/>
  <c r="BP96" i="6" s="1"/>
  <c r="BQ58" i="6" s="1"/>
  <c r="BQ96" i="6" s="1"/>
  <c r="BR58" i="6" s="1"/>
  <c r="BR96" i="6" s="1"/>
  <c r="BS58" i="6" s="1"/>
  <c r="BS96" i="6" s="1"/>
  <c r="BT58" i="6" s="1"/>
  <c r="BT96" i="6" s="1"/>
  <c r="BU58" i="6" s="1"/>
  <c r="BU96" i="6" s="1"/>
  <c r="BV58" i="6" s="1"/>
  <c r="BV96" i="6" s="1"/>
  <c r="BW58" i="6" s="1"/>
  <c r="BW96" i="6" s="1"/>
  <c r="AJ91" i="6"/>
  <c r="AT89" i="6"/>
  <c r="BC30" i="3"/>
  <c r="BB24" i="7"/>
  <c r="BC10" i="7"/>
  <c r="BD33" i="7" l="1"/>
  <c r="BA77" i="4"/>
  <c r="BC12" i="7" s="1"/>
  <c r="BB24" i="4"/>
  <c r="BB74" i="4" s="1"/>
  <c r="BC15" i="4"/>
  <c r="BC73" i="4" s="1"/>
  <c r="BB38" i="4"/>
  <c r="BB75" i="4" s="1"/>
  <c r="BB15" i="7"/>
  <c r="BE9" i="7"/>
  <c r="BE23" i="7" s="1"/>
  <c r="BE33" i="7" s="1"/>
  <c r="BC24" i="4"/>
  <c r="BC74" i="4" s="1"/>
  <c r="AF55" i="7"/>
  <c r="BC11" i="7"/>
  <c r="AG50" i="7"/>
  <c r="AG16" i="7"/>
  <c r="AG17" i="7" s="1"/>
  <c r="AF19" i="7"/>
  <c r="AF26" i="7"/>
  <c r="AF29" i="7" s="1"/>
  <c r="BK73" i="6"/>
  <c r="BK54" i="6"/>
  <c r="BK92" i="6" s="1"/>
  <c r="BL54" i="6" s="1"/>
  <c r="BL92" i="6" s="1"/>
  <c r="BM54" i="6" s="1"/>
  <c r="BM92" i="6" s="1"/>
  <c r="BN54" i="6" s="1"/>
  <c r="BN92" i="6" s="1"/>
  <c r="BO54" i="6" s="1"/>
  <c r="BO92" i="6" s="1"/>
  <c r="BP54" i="6" s="1"/>
  <c r="BP92" i="6" s="1"/>
  <c r="BQ54" i="6" s="1"/>
  <c r="BQ92" i="6" s="1"/>
  <c r="BR54" i="6" s="1"/>
  <c r="BR92" i="6" s="1"/>
  <c r="BS54" i="6" s="1"/>
  <c r="BS92" i="6" s="1"/>
  <c r="BT54" i="6" s="1"/>
  <c r="BT92" i="6" s="1"/>
  <c r="BU54" i="6" s="1"/>
  <c r="BU92" i="6" s="1"/>
  <c r="BV54" i="6" s="1"/>
  <c r="BV92" i="6" s="1"/>
  <c r="BW54" i="6" s="1"/>
  <c r="BW92" i="6" s="1"/>
  <c r="AI60" i="6"/>
  <c r="AI79" i="6"/>
  <c r="BE65" i="6"/>
  <c r="BE103" i="6" s="1"/>
  <c r="BE84" i="6"/>
  <c r="BG62" i="6"/>
  <c r="BG100" i="6" s="1"/>
  <c r="BG81" i="6"/>
  <c r="BE61" i="6"/>
  <c r="BE99" i="6" s="1"/>
  <c r="BE80" i="6"/>
  <c r="BE83" i="6"/>
  <c r="BE64" i="6"/>
  <c r="BE102" i="6" s="1"/>
  <c r="AG101" i="6"/>
  <c r="AG66" i="6"/>
  <c r="AG51" i="7" s="1"/>
  <c r="AJ78" i="6"/>
  <c r="AJ59" i="6"/>
  <c r="AK53" i="6"/>
  <c r="AK72" i="6"/>
  <c r="AU51" i="6"/>
  <c r="AU70" i="6"/>
  <c r="BB25" i="7"/>
  <c r="BB34" i="7" s="1"/>
  <c r="BC24" i="7"/>
  <c r="BC25" i="7" s="1"/>
  <c r="BD10" i="7"/>
  <c r="BB77" i="4" l="1"/>
  <c r="BD12" i="7" s="1"/>
  <c r="BC38" i="4"/>
  <c r="BC75" i="4" s="1"/>
  <c r="BC77" i="4" s="1"/>
  <c r="BE12" i="7" s="1"/>
  <c r="AG53" i="7"/>
  <c r="AG28" i="7"/>
  <c r="BC34" i="7"/>
  <c r="BC15" i="7"/>
  <c r="BD11" i="7"/>
  <c r="BH81" i="6"/>
  <c r="BH62" i="6"/>
  <c r="BH100" i="6" s="1"/>
  <c r="BF84" i="6"/>
  <c r="BF65" i="6"/>
  <c r="BF103" i="6" s="1"/>
  <c r="AH63" i="6"/>
  <c r="AH82" i="6"/>
  <c r="AH85" i="6" s="1"/>
  <c r="AG104" i="6"/>
  <c r="BF61" i="6"/>
  <c r="BF99" i="6" s="1"/>
  <c r="BF80" i="6"/>
  <c r="AJ97" i="6"/>
  <c r="BF83" i="6"/>
  <c r="BF64" i="6"/>
  <c r="BF102" i="6" s="1"/>
  <c r="AG18" i="7"/>
  <c r="AI98" i="6"/>
  <c r="AK91" i="6"/>
  <c r="AU89" i="6"/>
  <c r="BD24" i="7"/>
  <c r="BD25" i="7" s="1"/>
  <c r="BE10" i="7"/>
  <c r="BD15" i="7" l="1"/>
  <c r="BE11" i="7"/>
  <c r="BE15" i="7" s="1"/>
  <c r="BD34" i="7"/>
  <c r="AH50" i="7"/>
  <c r="AH16" i="7"/>
  <c r="AH17" i="7" s="1"/>
  <c r="AF35" i="7"/>
  <c r="AF36" i="7" s="1"/>
  <c r="AF56" i="7" s="1"/>
  <c r="AG19" i="7"/>
  <c r="AH28" i="7" s="1"/>
  <c r="AG26" i="7"/>
  <c r="AG29" i="7" s="1"/>
  <c r="BD30" i="3"/>
  <c r="BE30" i="3"/>
  <c r="AH101" i="6"/>
  <c r="AH66" i="6"/>
  <c r="AH51" i="7" s="1"/>
  <c r="AJ60" i="6"/>
  <c r="AJ79" i="6"/>
  <c r="AK59" i="6"/>
  <c r="AK78" i="6"/>
  <c r="BG61" i="6"/>
  <c r="BG99" i="6" s="1"/>
  <c r="BG80" i="6"/>
  <c r="BI62" i="6"/>
  <c r="BI100" i="6" s="1"/>
  <c r="BI81" i="6"/>
  <c r="BG64" i="6"/>
  <c r="BG102" i="6" s="1"/>
  <c r="BG83" i="6"/>
  <c r="BG84" i="6"/>
  <c r="BG65" i="6"/>
  <c r="BG103" i="6" s="1"/>
  <c r="AL53" i="6"/>
  <c r="AL72" i="6"/>
  <c r="AV70" i="6"/>
  <c r="AV51" i="6"/>
  <c r="BE24" i="7"/>
  <c r="BE25" i="7" s="1"/>
  <c r="BF10" i="7"/>
  <c r="BD38" i="4" l="1"/>
  <c r="BD75" i="4" s="1"/>
  <c r="BE15" i="4"/>
  <c r="BE73" i="4" s="1"/>
  <c r="BD15" i="4"/>
  <c r="BD73" i="4" s="1"/>
  <c r="BE38" i="4"/>
  <c r="BE75" i="4" s="1"/>
  <c r="BG9" i="7"/>
  <c r="BG23" i="7" s="1"/>
  <c r="BE24" i="4"/>
  <c r="BE74" i="4" s="1"/>
  <c r="BF9" i="7"/>
  <c r="BF11" i="7" s="1"/>
  <c r="AH53" i="7"/>
  <c r="AG55" i="7"/>
  <c r="BE34" i="7"/>
  <c r="BH65" i="6"/>
  <c r="BH103" i="6" s="1"/>
  <c r="BH84" i="6"/>
  <c r="BH80" i="6"/>
  <c r="BH61" i="6"/>
  <c r="BH99" i="6" s="1"/>
  <c r="BH64" i="6"/>
  <c r="BH102" i="6" s="1"/>
  <c r="BH83" i="6"/>
  <c r="AK97" i="6"/>
  <c r="AH18" i="7"/>
  <c r="AJ98" i="6"/>
  <c r="BJ81" i="6"/>
  <c r="BJ62" i="6"/>
  <c r="BJ100" i="6" s="1"/>
  <c r="AI63" i="6"/>
  <c r="AI82" i="6"/>
  <c r="AI85" i="6" s="1"/>
  <c r="AH104" i="6"/>
  <c r="AL91" i="6"/>
  <c r="AV89" i="6"/>
  <c r="BF24" i="7"/>
  <c r="BG10" i="7"/>
  <c r="BE77" i="4" l="1"/>
  <c r="BG12" i="7" s="1"/>
  <c r="BD24" i="4"/>
  <c r="BD74" i="4" s="1"/>
  <c r="BD77" i="4" s="1"/>
  <c r="BF12" i="7" s="1"/>
  <c r="BF15" i="7" s="1"/>
  <c r="BF23" i="7"/>
  <c r="BF33" i="7" s="1"/>
  <c r="BG11" i="7"/>
  <c r="AI50" i="7"/>
  <c r="AI16" i="7"/>
  <c r="AI17" i="7" s="1"/>
  <c r="AG35" i="7"/>
  <c r="AG36" i="7" s="1"/>
  <c r="AG56" i="7" s="1"/>
  <c r="AH19" i="7"/>
  <c r="AI28" i="7" s="1"/>
  <c r="AH26" i="7"/>
  <c r="AH29" i="7" s="1"/>
  <c r="BF30" i="3"/>
  <c r="BG30" i="3"/>
  <c r="BI61" i="6"/>
  <c r="BI99" i="6" s="1"/>
  <c r="BI80" i="6"/>
  <c r="AK79" i="6"/>
  <c r="AK60" i="6"/>
  <c r="BI83" i="6"/>
  <c r="BI64" i="6"/>
  <c r="BI102" i="6" s="1"/>
  <c r="AL59" i="6"/>
  <c r="AL78" i="6"/>
  <c r="AI101" i="6"/>
  <c r="AI66" i="6"/>
  <c r="AI51" i="7" s="1"/>
  <c r="BK62" i="6"/>
  <c r="BK100" i="6" s="1"/>
  <c r="BL62" i="6" s="1"/>
  <c r="BL100" i="6" s="1"/>
  <c r="BM62" i="6" s="1"/>
  <c r="BM100" i="6" s="1"/>
  <c r="BN62" i="6" s="1"/>
  <c r="BN100" i="6" s="1"/>
  <c r="BO62" i="6" s="1"/>
  <c r="BO100" i="6" s="1"/>
  <c r="BP62" i="6" s="1"/>
  <c r="BP100" i="6" s="1"/>
  <c r="BQ62" i="6" s="1"/>
  <c r="BQ100" i="6" s="1"/>
  <c r="BR62" i="6" s="1"/>
  <c r="BR100" i="6" s="1"/>
  <c r="BS62" i="6" s="1"/>
  <c r="BS100" i="6" s="1"/>
  <c r="BT62" i="6" s="1"/>
  <c r="BT100" i="6" s="1"/>
  <c r="BU62" i="6" s="1"/>
  <c r="BU100" i="6" s="1"/>
  <c r="BV62" i="6" s="1"/>
  <c r="BV100" i="6" s="1"/>
  <c r="BW62" i="6" s="1"/>
  <c r="BW100" i="6" s="1"/>
  <c r="BK81" i="6"/>
  <c r="BI84" i="6"/>
  <c r="BI65" i="6"/>
  <c r="BI103" i="6" s="1"/>
  <c r="AM72" i="6"/>
  <c r="AM53" i="6"/>
  <c r="AW70" i="6"/>
  <c r="AW51" i="6"/>
  <c r="BH30" i="3"/>
  <c r="BF25" i="7"/>
  <c r="BF34" i="7" s="1"/>
  <c r="BG24" i="7"/>
  <c r="BG25" i="7" s="1"/>
  <c r="BH10" i="7"/>
  <c r="BF38" i="4" l="1"/>
  <c r="BF75" i="4" s="1"/>
  <c r="BG15" i="7"/>
  <c r="BG15" i="4"/>
  <c r="BG73" i="4" s="1"/>
  <c r="BG38" i="4"/>
  <c r="BG75" i="4" s="1"/>
  <c r="BH15" i="4"/>
  <c r="BH73" i="4" s="1"/>
  <c r="BF15" i="4"/>
  <c r="BF73" i="4" s="1"/>
  <c r="BG33" i="7"/>
  <c r="BJ9" i="7"/>
  <c r="BJ23" i="7" s="1"/>
  <c r="BH24" i="4"/>
  <c r="BH74" i="4" s="1"/>
  <c r="BI9" i="7"/>
  <c r="BI23" i="7" s="1"/>
  <c r="BG24" i="4"/>
  <c r="BG74" i="4" s="1"/>
  <c r="BH9" i="7"/>
  <c r="BH23" i="7" s="1"/>
  <c r="BH33" i="7" s="1"/>
  <c r="BF24" i="4"/>
  <c r="BF74" i="4" s="1"/>
  <c r="AH55" i="7"/>
  <c r="AI53" i="7"/>
  <c r="BG34" i="7"/>
  <c r="AI18" i="7"/>
  <c r="AK98" i="6"/>
  <c r="BJ84" i="6"/>
  <c r="BJ65" i="6"/>
  <c r="BJ103" i="6" s="1"/>
  <c r="BJ64" i="6"/>
  <c r="BJ102" i="6" s="1"/>
  <c r="BJ83" i="6"/>
  <c r="AL97" i="6"/>
  <c r="AJ63" i="6"/>
  <c r="AJ82" i="6"/>
  <c r="AJ85" i="6" s="1"/>
  <c r="AI104" i="6"/>
  <c r="BJ80" i="6"/>
  <c r="BJ61" i="6"/>
  <c r="BJ99" i="6" s="1"/>
  <c r="AM91" i="6"/>
  <c r="AW89" i="6"/>
  <c r="BH24" i="7"/>
  <c r="BH25" i="7" s="1"/>
  <c r="BI10" i="7"/>
  <c r="BH11" i="7" l="1"/>
  <c r="BH38" i="4"/>
  <c r="BH75" i="4" s="1"/>
  <c r="BH77" i="4" s="1"/>
  <c r="BJ12" i="7" s="1"/>
  <c r="BF77" i="4"/>
  <c r="BH12" i="7" s="1"/>
  <c r="BG77" i="4"/>
  <c r="BI12" i="7" s="1"/>
  <c r="BJ33" i="7"/>
  <c r="BI33" i="7"/>
  <c r="BH34" i="7"/>
  <c r="BI11" i="7"/>
  <c r="AH35" i="7"/>
  <c r="AH36" i="7" s="1"/>
  <c r="AH56" i="7" s="1"/>
  <c r="AJ16" i="7"/>
  <c r="AJ17" i="7" s="1"/>
  <c r="AJ50" i="7"/>
  <c r="AI19" i="7"/>
  <c r="AJ28" i="7" s="1"/>
  <c r="AI26" i="7"/>
  <c r="AI29" i="7" s="1"/>
  <c r="BK64" i="6"/>
  <c r="BK102" i="6" s="1"/>
  <c r="BL64" i="6" s="1"/>
  <c r="BL102" i="6" s="1"/>
  <c r="BM64" i="6" s="1"/>
  <c r="BM102" i="6" s="1"/>
  <c r="BN64" i="6" s="1"/>
  <c r="BN102" i="6" s="1"/>
  <c r="BO64" i="6" s="1"/>
  <c r="BO102" i="6" s="1"/>
  <c r="BP64" i="6" s="1"/>
  <c r="BP102" i="6" s="1"/>
  <c r="BQ64" i="6" s="1"/>
  <c r="BQ102" i="6" s="1"/>
  <c r="BR64" i="6" s="1"/>
  <c r="BR102" i="6" s="1"/>
  <c r="BS64" i="6" s="1"/>
  <c r="BS102" i="6" s="1"/>
  <c r="BT64" i="6" s="1"/>
  <c r="BT102" i="6" s="1"/>
  <c r="BU64" i="6" s="1"/>
  <c r="BU102" i="6" s="1"/>
  <c r="BV64" i="6" s="1"/>
  <c r="BV102" i="6" s="1"/>
  <c r="BW64" i="6" s="1"/>
  <c r="BW102" i="6" s="1"/>
  <c r="BK83" i="6"/>
  <c r="BK80" i="6"/>
  <c r="BK61" i="6"/>
  <c r="BK99" i="6" s="1"/>
  <c r="BL61" i="6" s="1"/>
  <c r="BL99" i="6" s="1"/>
  <c r="BM61" i="6" s="1"/>
  <c r="BM99" i="6" s="1"/>
  <c r="BN61" i="6" s="1"/>
  <c r="BN99" i="6" s="1"/>
  <c r="BO61" i="6" s="1"/>
  <c r="BO99" i="6" s="1"/>
  <c r="BP61" i="6" s="1"/>
  <c r="BP99" i="6" s="1"/>
  <c r="BQ61" i="6" s="1"/>
  <c r="BQ99" i="6" s="1"/>
  <c r="BR61" i="6" s="1"/>
  <c r="BR99" i="6" s="1"/>
  <c r="BS61" i="6" s="1"/>
  <c r="BS99" i="6" s="1"/>
  <c r="BT61" i="6" s="1"/>
  <c r="BT99" i="6" s="1"/>
  <c r="BU61" i="6" s="1"/>
  <c r="BU99" i="6" s="1"/>
  <c r="BV61" i="6" s="1"/>
  <c r="BV99" i="6" s="1"/>
  <c r="BW61" i="6" s="1"/>
  <c r="BW99" i="6" s="1"/>
  <c r="AM59" i="6"/>
  <c r="AM78" i="6"/>
  <c r="AJ101" i="6"/>
  <c r="AJ66" i="6"/>
  <c r="AJ51" i="7" s="1"/>
  <c r="AL60" i="6"/>
  <c r="AL79" i="6"/>
  <c r="BK84" i="6"/>
  <c r="BK65" i="6"/>
  <c r="BK103" i="6" s="1"/>
  <c r="BL65" i="6" s="1"/>
  <c r="BL103" i="6" s="1"/>
  <c r="BM65" i="6" s="1"/>
  <c r="BM103" i="6" s="1"/>
  <c r="BN65" i="6" s="1"/>
  <c r="BN103" i="6" s="1"/>
  <c r="BO65" i="6" s="1"/>
  <c r="BO103" i="6" s="1"/>
  <c r="BP65" i="6" s="1"/>
  <c r="BP103" i="6" s="1"/>
  <c r="BQ65" i="6" s="1"/>
  <c r="BQ103" i="6" s="1"/>
  <c r="BR65" i="6" s="1"/>
  <c r="BR103" i="6" s="1"/>
  <c r="BS65" i="6" s="1"/>
  <c r="BS103" i="6" s="1"/>
  <c r="BT65" i="6" s="1"/>
  <c r="BT103" i="6" s="1"/>
  <c r="BU65" i="6" s="1"/>
  <c r="BU103" i="6" s="1"/>
  <c r="BV65" i="6" s="1"/>
  <c r="BV103" i="6" s="1"/>
  <c r="BW65" i="6" s="1"/>
  <c r="BW103" i="6" s="1"/>
  <c r="AN72" i="6"/>
  <c r="AN53" i="6"/>
  <c r="AX70" i="6"/>
  <c r="AX51" i="6"/>
  <c r="BI24" i="7"/>
  <c r="BJ10" i="7"/>
  <c r="BH15" i="7" l="1"/>
  <c r="BI15" i="7"/>
  <c r="AI55" i="7"/>
  <c r="AJ53" i="7"/>
  <c r="BJ11" i="7"/>
  <c r="BJ15" i="7" s="1"/>
  <c r="AI35" i="7"/>
  <c r="AI36" i="7" s="1"/>
  <c r="BI30" i="3"/>
  <c r="AJ18" i="7"/>
  <c r="AL98" i="6"/>
  <c r="AM97" i="6"/>
  <c r="AK63" i="6"/>
  <c r="AK82" i="6"/>
  <c r="AK85" i="6" s="1"/>
  <c r="AJ104" i="6"/>
  <c r="AN91" i="6"/>
  <c r="AX89" i="6"/>
  <c r="BJ24" i="7"/>
  <c r="BJ25" i="7" s="1"/>
  <c r="BI25" i="7"/>
  <c r="BI34" i="7" s="1"/>
  <c r="BI38" i="4" l="1"/>
  <c r="BI75" i="4" s="1"/>
  <c r="BI15" i="4"/>
  <c r="BI73" i="4" s="1"/>
  <c r="BK9" i="7"/>
  <c r="BK23" i="7" s="1"/>
  <c r="BK33" i="7" s="1"/>
  <c r="AI56" i="7"/>
  <c r="AJ55" i="7" s="1"/>
  <c r="BJ34" i="7"/>
  <c r="AK16" i="7"/>
  <c r="AK17" i="7" s="1"/>
  <c r="AK50" i="7"/>
  <c r="AJ19" i="7"/>
  <c r="AK28" i="7" s="1"/>
  <c r="AJ26" i="7"/>
  <c r="AJ29" i="7" s="1"/>
  <c r="BK10" i="7"/>
  <c r="AM60" i="6"/>
  <c r="AM79" i="6"/>
  <c r="AN59" i="6"/>
  <c r="AN78" i="6"/>
  <c r="AK101" i="6"/>
  <c r="AK66" i="6"/>
  <c r="AK51" i="7" s="1"/>
  <c r="AO53" i="6"/>
  <c r="AO72" i="6"/>
  <c r="AY51" i="6"/>
  <c r="AY70" i="6"/>
  <c r="BI24" i="4" l="1"/>
  <c r="BI74" i="4" s="1"/>
  <c r="BI77" i="4" s="1"/>
  <c r="BK12" i="7" s="1"/>
  <c r="H12" i="10" s="1"/>
  <c r="H22" i="10"/>
  <c r="H9" i="10"/>
  <c r="AK53" i="7"/>
  <c r="H10" i="10"/>
  <c r="BK11" i="7"/>
  <c r="BK24" i="7"/>
  <c r="H23" i="10" s="1"/>
  <c r="AN97" i="6"/>
  <c r="AL63" i="6"/>
  <c r="AL82" i="6"/>
  <c r="AL85" i="6" s="1"/>
  <c r="AK104" i="6"/>
  <c r="AM98" i="6"/>
  <c r="AO91" i="6"/>
  <c r="AY89" i="6"/>
  <c r="BK15" i="7" l="1"/>
  <c r="H15" i="10" s="1"/>
  <c r="H31" i="10" s="1"/>
  <c r="H11" i="10"/>
  <c r="AL16" i="7"/>
  <c r="AL17" i="7" s="1"/>
  <c r="AL50" i="7"/>
  <c r="AJ35" i="7"/>
  <c r="AJ36" i="7" s="1"/>
  <c r="AJ56" i="7" s="1"/>
  <c r="BK25" i="7"/>
  <c r="H24" i="10" s="1"/>
  <c r="AK18" i="7"/>
  <c r="AL101" i="6"/>
  <c r="AL66" i="6"/>
  <c r="AL51" i="7" s="1"/>
  <c r="AO59" i="6"/>
  <c r="AO78" i="6"/>
  <c r="AN60" i="6"/>
  <c r="AN79" i="6"/>
  <c r="AP72" i="6"/>
  <c r="AP53" i="6"/>
  <c r="AZ70" i="6"/>
  <c r="AZ51" i="6"/>
  <c r="AK55" i="7" l="1"/>
  <c r="AL53" i="7"/>
  <c r="BK34" i="7"/>
  <c r="AK19" i="7"/>
  <c r="AL28" i="7" s="1"/>
  <c r="AK26" i="7"/>
  <c r="AK29" i="7" s="1"/>
  <c r="F3" i="8"/>
  <c r="AN98" i="6"/>
  <c r="AM63" i="6"/>
  <c r="AM82" i="6"/>
  <c r="AM85" i="6" s="1"/>
  <c r="AL104" i="6"/>
  <c r="AO97" i="6"/>
  <c r="AP91" i="6"/>
  <c r="AZ89" i="6"/>
  <c r="AM50" i="7" l="1"/>
  <c r="AM16" i="7"/>
  <c r="F4" i="8"/>
  <c r="F6" i="8"/>
  <c r="AO79" i="6"/>
  <c r="AO60" i="6"/>
  <c r="AP78" i="6"/>
  <c r="AP59" i="6"/>
  <c r="AM101" i="6"/>
  <c r="AM66" i="6"/>
  <c r="AM51" i="7" s="1"/>
  <c r="AL18" i="7"/>
  <c r="AQ72" i="6"/>
  <c r="AQ53" i="6"/>
  <c r="BA51" i="6"/>
  <c r="BA70" i="6"/>
  <c r="AM53" i="7" l="1"/>
  <c r="AK35" i="7"/>
  <c r="AK36" i="7" s="1"/>
  <c r="AK56" i="7" s="1"/>
  <c r="AM17" i="7"/>
  <c r="F17" i="10" s="1"/>
  <c r="F16" i="10"/>
  <c r="AL19" i="7"/>
  <c r="AM28" i="7" s="1"/>
  <c r="F27" i="10" s="1"/>
  <c r="AL26" i="7"/>
  <c r="AL29" i="7" s="1"/>
  <c r="AO98" i="6"/>
  <c r="AN82" i="6"/>
  <c r="AN85" i="6" s="1"/>
  <c r="AN63" i="6"/>
  <c r="AM104" i="6"/>
  <c r="AP97" i="6"/>
  <c r="AQ91" i="6"/>
  <c r="BA89" i="6"/>
  <c r="F18" i="10" l="1"/>
  <c r="F19" i="10" s="1"/>
  <c r="AL55" i="7"/>
  <c r="AN16" i="7"/>
  <c r="AN50" i="7"/>
  <c r="AP60" i="6"/>
  <c r="AP79" i="6"/>
  <c r="AQ59" i="6"/>
  <c r="AQ78" i="6"/>
  <c r="AN101" i="6"/>
  <c r="AN66" i="6"/>
  <c r="AN51" i="7" s="1"/>
  <c r="AM18" i="7"/>
  <c r="AR72" i="6"/>
  <c r="AR53" i="6"/>
  <c r="BB70" i="6"/>
  <c r="BB51" i="6"/>
  <c r="AL35" i="7" l="1"/>
  <c r="AL36" i="7" s="1"/>
  <c r="AL56" i="7" s="1"/>
  <c r="AN17" i="7"/>
  <c r="AN18" i="7" s="1"/>
  <c r="AM19" i="7"/>
  <c r="AM26" i="7"/>
  <c r="AM29" i="7" s="1"/>
  <c r="AQ97" i="6"/>
  <c r="AO63" i="6"/>
  <c r="AO82" i="6"/>
  <c r="AO85" i="6" s="1"/>
  <c r="AN104" i="6"/>
  <c r="AP98" i="6"/>
  <c r="AR91" i="6"/>
  <c r="BB89" i="6"/>
  <c r="AM55" i="7" l="1"/>
  <c r="AN53" i="7"/>
  <c r="AN28" i="7"/>
  <c r="AO16" i="7"/>
  <c r="AO50" i="7"/>
  <c r="F25" i="10"/>
  <c r="AM35" i="7"/>
  <c r="AM36" i="7" s="1"/>
  <c r="AN26" i="7"/>
  <c r="AN19" i="7"/>
  <c r="F28" i="10"/>
  <c r="F33" i="10" s="1"/>
  <c r="AQ60" i="6"/>
  <c r="AQ79" i="6"/>
  <c r="AO101" i="6"/>
  <c r="AO66" i="6"/>
  <c r="AO51" i="7" s="1"/>
  <c r="AR59" i="6"/>
  <c r="AR78" i="6"/>
  <c r="AS72" i="6"/>
  <c r="AS53" i="6"/>
  <c r="BC51" i="6"/>
  <c r="BC70" i="6"/>
  <c r="AO28" i="7" l="1"/>
  <c r="AO53" i="7"/>
  <c r="AN29" i="7"/>
  <c r="AN35" i="7" s="1"/>
  <c r="AN36" i="7" s="1"/>
  <c r="D5" i="8"/>
  <c r="AO17" i="7"/>
  <c r="AO18" i="7" s="1"/>
  <c r="AP63" i="6"/>
  <c r="AP82" i="6"/>
  <c r="AP85" i="6" s="1"/>
  <c r="AO104" i="6"/>
  <c r="AR97" i="6"/>
  <c r="AQ98" i="6"/>
  <c r="AS91" i="6"/>
  <c r="BC89" i="6"/>
  <c r="AP16" i="7" l="1"/>
  <c r="AP50" i="7"/>
  <c r="AO19" i="7"/>
  <c r="AO26" i="7"/>
  <c r="AO29" i="7" s="1"/>
  <c r="AM56" i="7"/>
  <c r="AS59" i="6"/>
  <c r="AS78" i="6"/>
  <c r="AR60" i="6"/>
  <c r="AR79" i="6"/>
  <c r="AP101" i="6"/>
  <c r="AP66" i="6"/>
  <c r="AP51" i="7" s="1"/>
  <c r="AT72" i="6"/>
  <c r="AT53" i="6"/>
  <c r="BD70" i="6"/>
  <c r="BD51" i="6"/>
  <c r="F34" i="10" l="1"/>
  <c r="AN55" i="7"/>
  <c r="AN56" i="7" s="1"/>
  <c r="AP28" i="7"/>
  <c r="AP53" i="7"/>
  <c r="AP17" i="7"/>
  <c r="AP18" i="7" s="1"/>
  <c r="AQ82" i="6"/>
  <c r="AQ85" i="6" s="1"/>
  <c r="AQ63" i="6"/>
  <c r="AP104" i="6"/>
  <c r="AS97" i="6"/>
  <c r="AR98" i="6"/>
  <c r="AT91" i="6"/>
  <c r="BD89" i="6"/>
  <c r="F36" i="10" l="1"/>
  <c r="AO55" i="7"/>
  <c r="AO35" i="7"/>
  <c r="AO36" i="7" s="1"/>
  <c r="AQ50" i="7"/>
  <c r="AQ16" i="7"/>
  <c r="AP19" i="7"/>
  <c r="AP26" i="7"/>
  <c r="AP29" i="7" s="1"/>
  <c r="AS60" i="6"/>
  <c r="AS79" i="6"/>
  <c r="AQ101" i="6"/>
  <c r="AQ66" i="6"/>
  <c r="AQ51" i="7" s="1"/>
  <c r="AT59" i="6"/>
  <c r="AT78" i="6"/>
  <c r="AU72" i="6"/>
  <c r="AU53" i="6"/>
  <c r="BE51" i="6"/>
  <c r="BE70" i="6"/>
  <c r="AO56" i="7" l="1"/>
  <c r="AP55" i="7" s="1"/>
  <c r="AQ53" i="7"/>
  <c r="AQ28" i="7"/>
  <c r="AQ17" i="7"/>
  <c r="AQ18" i="7" s="1"/>
  <c r="AR63" i="6"/>
  <c r="AR82" i="6"/>
  <c r="AR85" i="6" s="1"/>
  <c r="AQ104" i="6"/>
  <c r="AT97" i="6"/>
  <c r="AS98" i="6"/>
  <c r="AU91" i="6"/>
  <c r="BE89" i="6"/>
  <c r="AR50" i="7" l="1"/>
  <c r="AR16" i="7"/>
  <c r="AP35" i="7"/>
  <c r="AP36" i="7" s="1"/>
  <c r="AP56" i="7" s="1"/>
  <c r="AQ19" i="7"/>
  <c r="AQ26" i="7"/>
  <c r="AT60" i="6"/>
  <c r="AT79" i="6"/>
  <c r="AU59" i="6"/>
  <c r="AU78" i="6"/>
  <c r="AR101" i="6"/>
  <c r="AR66" i="6"/>
  <c r="AR51" i="7" s="1"/>
  <c r="AV72" i="6"/>
  <c r="AV53" i="6"/>
  <c r="BF70" i="6"/>
  <c r="BF51" i="6"/>
  <c r="AQ55" i="7" l="1"/>
  <c r="AR28" i="7"/>
  <c r="AQ29" i="7"/>
  <c r="AQ35" i="7" s="1"/>
  <c r="AQ36" i="7" s="1"/>
  <c r="AR53" i="7"/>
  <c r="AR17" i="7"/>
  <c r="AR18" i="7" s="1"/>
  <c r="AU97" i="6"/>
  <c r="AS63" i="6"/>
  <c r="AS82" i="6"/>
  <c r="AS85" i="6" s="1"/>
  <c r="AR104" i="6"/>
  <c r="AT98" i="6"/>
  <c r="AV91" i="6"/>
  <c r="BF89" i="6"/>
  <c r="AQ56" i="7" l="1"/>
  <c r="AR55" i="7" s="1"/>
  <c r="AS50" i="7"/>
  <c r="AS16" i="7"/>
  <c r="AS17" i="7" s="1"/>
  <c r="AR19" i="7"/>
  <c r="AR26" i="7"/>
  <c r="AR29" i="7" s="1"/>
  <c r="AU60" i="6"/>
  <c r="AU79" i="6"/>
  <c r="AS101" i="6"/>
  <c r="AS66" i="6"/>
  <c r="AS51" i="7" s="1"/>
  <c r="AV59" i="6"/>
  <c r="AV78" i="6"/>
  <c r="AW72" i="6"/>
  <c r="AW53" i="6"/>
  <c r="BG51" i="6"/>
  <c r="BG70" i="6"/>
  <c r="AS28" i="7" l="1"/>
  <c r="AS53" i="7"/>
  <c r="AU98" i="6"/>
  <c r="AS18" i="7"/>
  <c r="AV97" i="6"/>
  <c r="AT63" i="6"/>
  <c r="AT82" i="6"/>
  <c r="AT85" i="6" s="1"/>
  <c r="AS104" i="6"/>
  <c r="AW91" i="6"/>
  <c r="BG89" i="6"/>
  <c r="AT50" i="7" l="1"/>
  <c r="AT16" i="7"/>
  <c r="AT17" i="7" s="1"/>
  <c r="AR35" i="7"/>
  <c r="AR36" i="7" s="1"/>
  <c r="AR56" i="7" s="1"/>
  <c r="AS19" i="7"/>
  <c r="AT28" i="7" s="1"/>
  <c r="AS26" i="7"/>
  <c r="AS29" i="7" s="1"/>
  <c r="AV79" i="6"/>
  <c r="AV60" i="6"/>
  <c r="AW59" i="6"/>
  <c r="AW78" i="6"/>
  <c r="AT101" i="6"/>
  <c r="AT66" i="6"/>
  <c r="AT51" i="7" s="1"/>
  <c r="AX72" i="6"/>
  <c r="AX53" i="6"/>
  <c r="BH51" i="6"/>
  <c r="BH70" i="6"/>
  <c r="AS55" i="7" l="1"/>
  <c r="AT53" i="7"/>
  <c r="AV98" i="6"/>
  <c r="AW97" i="6"/>
  <c r="AU63" i="6"/>
  <c r="AU82" i="6"/>
  <c r="AU85" i="6" s="1"/>
  <c r="AT104" i="6"/>
  <c r="AT18" i="7"/>
  <c r="AX91" i="6"/>
  <c r="BH89" i="6"/>
  <c r="AU50" i="7" l="1"/>
  <c r="AU16" i="7"/>
  <c r="AU17" i="7" s="1"/>
  <c r="AS35" i="7"/>
  <c r="AS36" i="7" s="1"/>
  <c r="AS56" i="7" s="1"/>
  <c r="AT19" i="7"/>
  <c r="AU28" i="7" s="1"/>
  <c r="AT26" i="7"/>
  <c r="AT29" i="7" s="1"/>
  <c r="AU101" i="6"/>
  <c r="AU66" i="6"/>
  <c r="AU51" i="7" s="1"/>
  <c r="AW60" i="6"/>
  <c r="AW79" i="6"/>
  <c r="AX59" i="6"/>
  <c r="AX78" i="6"/>
  <c r="AY72" i="6"/>
  <c r="AY53" i="6"/>
  <c r="BI51" i="6"/>
  <c r="BI70" i="6"/>
  <c r="AT55" i="7" l="1"/>
  <c r="AU53" i="7"/>
  <c r="AW98" i="6"/>
  <c r="AU18" i="7"/>
  <c r="AX97" i="6"/>
  <c r="AV63" i="6"/>
  <c r="AV82" i="6"/>
  <c r="AV85" i="6" s="1"/>
  <c r="AU104" i="6"/>
  <c r="AY91" i="6"/>
  <c r="BI89" i="6"/>
  <c r="AV50" i="7" l="1"/>
  <c r="AV16" i="7"/>
  <c r="AV17" i="7" s="1"/>
  <c r="AT35" i="7"/>
  <c r="AT36" i="7" s="1"/>
  <c r="AT56" i="7" s="1"/>
  <c r="AU19" i="7"/>
  <c r="AV28" i="7" s="1"/>
  <c r="AU26" i="7"/>
  <c r="AU29" i="7" s="1"/>
  <c r="AV101" i="6"/>
  <c r="AV66" i="6"/>
  <c r="AV51" i="7" s="1"/>
  <c r="AY78" i="6"/>
  <c r="AY59" i="6"/>
  <c r="AX60" i="6"/>
  <c r="AX79" i="6"/>
  <c r="AZ72" i="6"/>
  <c r="AZ53" i="6"/>
  <c r="BJ51" i="6"/>
  <c r="BJ70" i="6"/>
  <c r="AU55" i="7" l="1"/>
  <c r="AV53" i="7"/>
  <c r="AX98" i="6"/>
  <c r="AY97" i="6"/>
  <c r="AW82" i="6"/>
  <c r="AW85" i="6" s="1"/>
  <c r="AW63" i="6"/>
  <c r="AV104" i="6"/>
  <c r="AV18" i="7"/>
  <c r="AZ91" i="6"/>
  <c r="BJ89" i="6"/>
  <c r="AU35" i="7" l="1"/>
  <c r="AU36" i="7" s="1"/>
  <c r="AU56" i="7" s="1"/>
  <c r="AW16" i="7"/>
  <c r="AW17" i="7" s="1"/>
  <c r="AW50" i="7"/>
  <c r="AV19" i="7"/>
  <c r="AW28" i="7" s="1"/>
  <c r="AV26" i="7"/>
  <c r="AV29" i="7" s="1"/>
  <c r="AZ59" i="6"/>
  <c r="AZ78" i="6"/>
  <c r="AY60" i="6"/>
  <c r="AY79" i="6"/>
  <c r="AW101" i="6"/>
  <c r="AW66" i="6"/>
  <c r="AW51" i="7" s="1"/>
  <c r="BA72" i="6"/>
  <c r="BA53" i="6"/>
  <c r="BK51" i="6"/>
  <c r="BK70" i="6"/>
  <c r="AW53" i="7" l="1"/>
  <c r="AV55" i="7"/>
  <c r="AY98" i="6"/>
  <c r="AX82" i="6"/>
  <c r="AX85" i="6" s="1"/>
  <c r="AX63" i="6"/>
  <c r="AW104" i="6"/>
  <c r="AZ97" i="6"/>
  <c r="BA91" i="6"/>
  <c r="BK89" i="6"/>
  <c r="AX50" i="7" l="1"/>
  <c r="AX16" i="7"/>
  <c r="AX17" i="7" s="1"/>
  <c r="AV35" i="7"/>
  <c r="AV36" i="7" s="1"/>
  <c r="AV56" i="7" s="1"/>
  <c r="AW18" i="7"/>
  <c r="AX101" i="6"/>
  <c r="AX66" i="6"/>
  <c r="AX51" i="7" s="1"/>
  <c r="BA59" i="6"/>
  <c r="BA78" i="6"/>
  <c r="AZ60" i="6"/>
  <c r="AZ79" i="6"/>
  <c r="BB72" i="6"/>
  <c r="BB53" i="6"/>
  <c r="BL51" i="6"/>
  <c r="AW55" i="7" l="1"/>
  <c r="AX53" i="7"/>
  <c r="AW19" i="7"/>
  <c r="AX28" i="7" s="1"/>
  <c r="AW26" i="7"/>
  <c r="AZ98" i="6"/>
  <c r="BA97" i="6"/>
  <c r="AY63" i="6"/>
  <c r="AY82" i="6"/>
  <c r="AY85" i="6" s="1"/>
  <c r="AX104" i="6"/>
  <c r="BB91" i="6"/>
  <c r="BL89" i="6"/>
  <c r="AW29" i="7" l="1"/>
  <c r="AW35" i="7" s="1"/>
  <c r="AW36" i="7" s="1"/>
  <c r="AW56" i="7" s="1"/>
  <c r="AY50" i="7"/>
  <c r="AY16" i="7"/>
  <c r="AY101" i="6"/>
  <c r="AY66" i="6"/>
  <c r="AY51" i="7" s="1"/>
  <c r="AX18" i="7"/>
  <c r="BB59" i="6"/>
  <c r="BB78" i="6"/>
  <c r="BA60" i="6"/>
  <c r="BA79" i="6"/>
  <c r="BC72" i="6"/>
  <c r="BC53" i="6"/>
  <c r="BM51" i="6"/>
  <c r="AX55" i="7" l="1"/>
  <c r="AY53" i="7"/>
  <c r="AY17" i="7"/>
  <c r="G17" i="10" s="1"/>
  <c r="G16" i="10"/>
  <c r="AX19" i="7"/>
  <c r="AY28" i="7" s="1"/>
  <c r="G27" i="10" s="1"/>
  <c r="AX26" i="7"/>
  <c r="AX29" i="7" s="1"/>
  <c r="BA98" i="6"/>
  <c r="BB97" i="6"/>
  <c r="AZ82" i="6"/>
  <c r="AZ85" i="6" s="1"/>
  <c r="AZ63" i="6"/>
  <c r="AY104" i="6"/>
  <c r="BC91" i="6"/>
  <c r="BM89" i="6"/>
  <c r="G18" i="10" l="1"/>
  <c r="G19" i="10" s="1"/>
  <c r="AZ50" i="7"/>
  <c r="AZ16" i="7"/>
  <c r="BC78" i="6"/>
  <c r="BC59" i="6"/>
  <c r="AY18" i="7"/>
  <c r="AZ101" i="6"/>
  <c r="AZ66" i="6"/>
  <c r="AZ51" i="7" s="1"/>
  <c r="BB79" i="6"/>
  <c r="BB60" i="6"/>
  <c r="BD72" i="6"/>
  <c r="BD53" i="6"/>
  <c r="BN51" i="6"/>
  <c r="AZ17" i="7" l="1"/>
  <c r="AZ18" i="7" s="1"/>
  <c r="AX35" i="7"/>
  <c r="AX36" i="7" s="1"/>
  <c r="AX56" i="7" s="1"/>
  <c r="AY19" i="7"/>
  <c r="AY26" i="7"/>
  <c r="AY29" i="7" s="1"/>
  <c r="BB98" i="6"/>
  <c r="BA63" i="6"/>
  <c r="BA82" i="6"/>
  <c r="BA85" i="6" s="1"/>
  <c r="AZ104" i="6"/>
  <c r="BC97" i="6"/>
  <c r="BD91" i="6"/>
  <c r="BN89" i="6"/>
  <c r="AY55" i="7" l="1"/>
  <c r="AZ53" i="7"/>
  <c r="AZ28" i="7"/>
  <c r="BA16" i="7"/>
  <c r="BA50" i="7"/>
  <c r="G25" i="10"/>
  <c r="AZ26" i="7"/>
  <c r="AZ19" i="7"/>
  <c r="BA101" i="6"/>
  <c r="BA66" i="6"/>
  <c r="BA51" i="7" s="1"/>
  <c r="BD59" i="6"/>
  <c r="BD78" i="6"/>
  <c r="BC79" i="6"/>
  <c r="BC60" i="6"/>
  <c r="BE53" i="6"/>
  <c r="BE72" i="6"/>
  <c r="BO51" i="6"/>
  <c r="BA53" i="7" l="1"/>
  <c r="BA28" i="7"/>
  <c r="AZ29" i="7"/>
  <c r="AZ35" i="7" s="1"/>
  <c r="AZ36" i="7" s="1"/>
  <c r="E5" i="8"/>
  <c r="G28" i="10"/>
  <c r="G33" i="10" s="1"/>
  <c r="AY35" i="7"/>
  <c r="AY36" i="7" s="1"/>
  <c r="BA17" i="7"/>
  <c r="BA18" i="7" s="1"/>
  <c r="BC98" i="6"/>
  <c r="BD97" i="6"/>
  <c r="BB63" i="6"/>
  <c r="BB82" i="6"/>
  <c r="BB85" i="6" s="1"/>
  <c r="BA104" i="6"/>
  <c r="BE91" i="6"/>
  <c r="BO89" i="6"/>
  <c r="BB50" i="7" l="1"/>
  <c r="BB16" i="7"/>
  <c r="BA19" i="7"/>
  <c r="BA26" i="7"/>
  <c r="BE78" i="6"/>
  <c r="BE59" i="6"/>
  <c r="BB101" i="6"/>
  <c r="BB66" i="6"/>
  <c r="BB51" i="7" s="1"/>
  <c r="AY56" i="7"/>
  <c r="BD60" i="6"/>
  <c r="BD79" i="6"/>
  <c r="BF72" i="6"/>
  <c r="BF53" i="6"/>
  <c r="BP51" i="6"/>
  <c r="AZ55" i="7" l="1"/>
  <c r="AZ56" i="7" s="1"/>
  <c r="BB53" i="7"/>
  <c r="BA29" i="7"/>
  <c r="BA35" i="7" s="1"/>
  <c r="BA36" i="7" s="1"/>
  <c r="BB28" i="7"/>
  <c r="BB17" i="7"/>
  <c r="BB18" i="7" s="1"/>
  <c r="BD98" i="6"/>
  <c r="BE97" i="6"/>
  <c r="BC82" i="6"/>
  <c r="BC85" i="6" s="1"/>
  <c r="BC63" i="6"/>
  <c r="BB104" i="6"/>
  <c r="BF91" i="6"/>
  <c r="BP89" i="6"/>
  <c r="G34" i="10" l="1"/>
  <c r="BA55" i="7"/>
  <c r="BA56" i="7" s="1"/>
  <c r="BC50" i="7"/>
  <c r="BC16" i="7"/>
  <c r="BB19" i="7"/>
  <c r="BB26" i="7"/>
  <c r="BF78" i="6"/>
  <c r="BF59" i="6"/>
  <c r="BC101" i="6"/>
  <c r="BC66" i="6"/>
  <c r="BC51" i="7" s="1"/>
  <c r="BE60" i="6"/>
  <c r="BE79" i="6"/>
  <c r="BG72" i="6"/>
  <c r="BG53" i="6"/>
  <c r="BQ51" i="6"/>
  <c r="G36" i="10" l="1"/>
  <c r="BB55" i="7"/>
  <c r="BB29" i="7"/>
  <c r="BB35" i="7" s="1"/>
  <c r="BB36" i="7" s="1"/>
  <c r="BC28" i="7"/>
  <c r="BC53" i="7"/>
  <c r="BC17" i="7"/>
  <c r="BC18" i="7" s="1"/>
  <c r="BF97" i="6"/>
  <c r="BE98" i="6"/>
  <c r="BD63" i="6"/>
  <c r="BD82" i="6"/>
  <c r="BD85" i="6" s="1"/>
  <c r="BC104" i="6"/>
  <c r="BG91" i="6"/>
  <c r="BQ89" i="6"/>
  <c r="BB56" i="7" l="1"/>
  <c r="BC55" i="7" s="1"/>
  <c r="BD50" i="7"/>
  <c r="BD16" i="7"/>
  <c r="BC19" i="7"/>
  <c r="BC26" i="7"/>
  <c r="BC29" i="7" s="1"/>
  <c r="BD101" i="6"/>
  <c r="BD66" i="6"/>
  <c r="BD51" i="7" s="1"/>
  <c r="BF79" i="6"/>
  <c r="BF60" i="6"/>
  <c r="BG78" i="6"/>
  <c r="BG59" i="6"/>
  <c r="BH72" i="6"/>
  <c r="BH53" i="6"/>
  <c r="BR51" i="6"/>
  <c r="BD28" i="7" l="1"/>
  <c r="BD53" i="7"/>
  <c r="BD17" i="7"/>
  <c r="BD18" i="7" s="1"/>
  <c r="BF98" i="6"/>
  <c r="BG97" i="6"/>
  <c r="BE63" i="6"/>
  <c r="BE82" i="6"/>
  <c r="BE85" i="6" s="1"/>
  <c r="BD104" i="6"/>
  <c r="BH91" i="6"/>
  <c r="BR89" i="6"/>
  <c r="BC35" i="7" l="1"/>
  <c r="BC36" i="7" s="1"/>
  <c r="BC56" i="7" s="1"/>
  <c r="BE16" i="7"/>
  <c r="BE17" i="7" s="1"/>
  <c r="BE50" i="7"/>
  <c r="BD19" i="7"/>
  <c r="BD26" i="7"/>
  <c r="BD29" i="7" s="1"/>
  <c r="BH78" i="6"/>
  <c r="BH59" i="6"/>
  <c r="BE101" i="6"/>
  <c r="BE66" i="6"/>
  <c r="BE51" i="7" s="1"/>
  <c r="BG60" i="6"/>
  <c r="BG79" i="6"/>
  <c r="BI72" i="6"/>
  <c r="BI53" i="6"/>
  <c r="BS51" i="6"/>
  <c r="BD55" i="7" l="1"/>
  <c r="BE53" i="7"/>
  <c r="BE28" i="7"/>
  <c r="BG98" i="6"/>
  <c r="BH97" i="6"/>
  <c r="BF63" i="6"/>
  <c r="BF82" i="6"/>
  <c r="BF85" i="6" s="1"/>
  <c r="BE104" i="6"/>
  <c r="BE18" i="7"/>
  <c r="BI91" i="6"/>
  <c r="BS89" i="6"/>
  <c r="BF16" i="7" l="1"/>
  <c r="BF17" i="7" s="1"/>
  <c r="BF18" i="7" s="1"/>
  <c r="BF50" i="7"/>
  <c r="BD35" i="7"/>
  <c r="BD36" i="7" s="1"/>
  <c r="BD56" i="7" s="1"/>
  <c r="BE19" i="7"/>
  <c r="BF28" i="7" s="1"/>
  <c r="BE26" i="7"/>
  <c r="BI78" i="6"/>
  <c r="BI59" i="6"/>
  <c r="BF101" i="6"/>
  <c r="BF66" i="6"/>
  <c r="BF51" i="7" s="1"/>
  <c r="BH79" i="6"/>
  <c r="BH60" i="6"/>
  <c r="BJ72" i="6"/>
  <c r="BJ53" i="6"/>
  <c r="BT51" i="6"/>
  <c r="BF53" i="7" l="1"/>
  <c r="BE55" i="7"/>
  <c r="BE29" i="7"/>
  <c r="BE35" i="7" s="1"/>
  <c r="BE36" i="7" s="1"/>
  <c r="BF19" i="7"/>
  <c r="BG28" i="7" s="1"/>
  <c r="BF26" i="7"/>
  <c r="BF29" i="7" s="1"/>
  <c r="BG63" i="6"/>
  <c r="BG82" i="6"/>
  <c r="BG85" i="6" s="1"/>
  <c r="BF104" i="6"/>
  <c r="BI97" i="6"/>
  <c r="BH98" i="6"/>
  <c r="BJ91" i="6"/>
  <c r="BT89" i="6"/>
  <c r="BE56" i="7" l="1"/>
  <c r="BF55" i="7" s="1"/>
  <c r="BG50" i="7"/>
  <c r="BG16" i="7"/>
  <c r="BG17" i="7" s="1"/>
  <c r="BG101" i="6"/>
  <c r="BG66" i="6"/>
  <c r="BG51" i="7" s="1"/>
  <c r="BI79" i="6"/>
  <c r="BI60" i="6"/>
  <c r="BJ59" i="6"/>
  <c r="BJ78" i="6"/>
  <c r="BK72" i="6"/>
  <c r="BK53" i="6"/>
  <c r="BU51" i="6"/>
  <c r="BG53" i="7" l="1"/>
  <c r="BF35" i="7"/>
  <c r="BF36" i="7" s="1"/>
  <c r="BF56" i="7" s="1"/>
  <c r="BI98" i="6"/>
  <c r="BJ97" i="6"/>
  <c r="BG18" i="7"/>
  <c r="BH63" i="6"/>
  <c r="BH82" i="6"/>
  <c r="BH85" i="6" s="1"/>
  <c r="BG104" i="6"/>
  <c r="BK91" i="6"/>
  <c r="BU89" i="6"/>
  <c r="BG55" i="7" l="1"/>
  <c r="BH50" i="7"/>
  <c r="BH16" i="7"/>
  <c r="BH17" i="7" s="1"/>
  <c r="BG19" i="7"/>
  <c r="BH28" i="7" s="1"/>
  <c r="BG26" i="7"/>
  <c r="BG29" i="7" s="1"/>
  <c r="BG35" i="7" s="1"/>
  <c r="BG36" i="7" s="1"/>
  <c r="BH101" i="6"/>
  <c r="BH66" i="6"/>
  <c r="BH51" i="7" s="1"/>
  <c r="BJ60" i="6"/>
  <c r="BJ79" i="6"/>
  <c r="BK59" i="6"/>
  <c r="BK78" i="6"/>
  <c r="BL53" i="6"/>
  <c r="BV51" i="6"/>
  <c r="BG56" i="7" l="1"/>
  <c r="BH55" i="7" s="1"/>
  <c r="BH53" i="7"/>
  <c r="BJ98" i="6"/>
  <c r="BI82" i="6"/>
  <c r="BI85" i="6" s="1"/>
  <c r="BI63" i="6"/>
  <c r="BH104" i="6"/>
  <c r="BH18" i="7"/>
  <c r="BK97" i="6"/>
  <c r="BL91" i="6"/>
  <c r="BV89" i="6"/>
  <c r="BW51" i="6" s="1"/>
  <c r="BI50" i="7" l="1"/>
  <c r="BI16" i="7"/>
  <c r="BI17" i="7" s="1"/>
  <c r="BH19" i="7"/>
  <c r="BI28" i="7" s="1"/>
  <c r="BH26" i="7"/>
  <c r="BH29" i="7" s="1"/>
  <c r="BK79" i="6"/>
  <c r="BK60" i="6"/>
  <c r="BI101" i="6"/>
  <c r="BI66" i="6"/>
  <c r="BI51" i="7" s="1"/>
  <c r="BL59" i="6"/>
  <c r="BM53" i="6"/>
  <c r="BI53" i="7" l="1"/>
  <c r="BL97" i="6"/>
  <c r="BK98" i="6"/>
  <c r="BJ82" i="6"/>
  <c r="BJ85" i="6" s="1"/>
  <c r="BJ63" i="6"/>
  <c r="BI104" i="6"/>
  <c r="BM91" i="6"/>
  <c r="BW89" i="6"/>
  <c r="BH35" i="7" l="1"/>
  <c r="BH36" i="7" s="1"/>
  <c r="BH56" i="7" s="1"/>
  <c r="BJ50" i="7"/>
  <c r="BJ16" i="7"/>
  <c r="BJ17" i="7" s="1"/>
  <c r="BM59" i="6"/>
  <c r="BJ101" i="6"/>
  <c r="BJ66" i="6"/>
  <c r="BJ51" i="7" s="1"/>
  <c r="BI18" i="7"/>
  <c r="BL60" i="6"/>
  <c r="BN53" i="6"/>
  <c r="BI55" i="7" l="1"/>
  <c r="BJ53" i="7"/>
  <c r="BI19" i="7"/>
  <c r="BJ28" i="7" s="1"/>
  <c r="BI26" i="7"/>
  <c r="BI29" i="7" s="1"/>
  <c r="BK63" i="6"/>
  <c r="BK82" i="6"/>
  <c r="BK85" i="6" s="1"/>
  <c r="BJ104" i="6"/>
  <c r="BL98" i="6"/>
  <c r="BM97" i="6"/>
  <c r="BN91" i="6"/>
  <c r="BK50" i="7" l="1"/>
  <c r="BK16" i="7"/>
  <c r="BN59" i="6"/>
  <c r="BM60" i="6"/>
  <c r="BK101" i="6"/>
  <c r="BK66" i="6"/>
  <c r="BJ18" i="7"/>
  <c r="BO53" i="6"/>
  <c r="BK51" i="7" l="1"/>
  <c r="BK17" i="7"/>
  <c r="H17" i="10" s="1"/>
  <c r="H16" i="10"/>
  <c r="BI35" i="7"/>
  <c r="BI36" i="7" s="1"/>
  <c r="BI56" i="7" s="1"/>
  <c r="BJ19" i="7"/>
  <c r="BK28" i="7" s="1"/>
  <c r="H27" i="10" s="1"/>
  <c r="BJ26" i="7"/>
  <c r="BJ29" i="7" s="1"/>
  <c r="BL63" i="6"/>
  <c r="BK104" i="6"/>
  <c r="BM98" i="6"/>
  <c r="BN97" i="6"/>
  <c r="BO91" i="6"/>
  <c r="H18" i="10" l="1"/>
  <c r="H19" i="10" s="1"/>
  <c r="BK53" i="7"/>
  <c r="BJ55" i="7"/>
  <c r="BK18" i="7"/>
  <c r="BO59" i="6"/>
  <c r="BN60" i="6"/>
  <c r="BL101" i="6"/>
  <c r="BL66" i="6"/>
  <c r="BP53" i="6"/>
  <c r="BJ35" i="7" l="1"/>
  <c r="BJ36" i="7" s="1"/>
  <c r="BJ56" i="7" s="1"/>
  <c r="BK19" i="7"/>
  <c r="BK26" i="7"/>
  <c r="BK29" i="7" s="1"/>
  <c r="H28" i="10" s="1"/>
  <c r="H33" i="10" s="1"/>
  <c r="BM63" i="6"/>
  <c r="BL104" i="6"/>
  <c r="BN98" i="6"/>
  <c r="BO97" i="6"/>
  <c r="BP91" i="6"/>
  <c r="BK55" i="7" l="1"/>
  <c r="F5" i="8"/>
  <c r="H25" i="10"/>
  <c r="BK35" i="7"/>
  <c r="BK36" i="7" s="1"/>
  <c r="BM101" i="6"/>
  <c r="BM66" i="6"/>
  <c r="BP59" i="6"/>
  <c r="BO60" i="6"/>
  <c r="BQ53" i="6"/>
  <c r="BK56" i="7" l="1"/>
  <c r="B61" i="7" s="1"/>
  <c r="BP97" i="6"/>
  <c r="BO98" i="6"/>
  <c r="BN63" i="6"/>
  <c r="BM104" i="6"/>
  <c r="BQ91" i="6"/>
  <c r="BN101" i="6" l="1"/>
  <c r="BN66" i="6"/>
  <c r="BQ59" i="6"/>
  <c r="BP60" i="6"/>
  <c r="BR53" i="6"/>
  <c r="BQ97" i="6" l="1"/>
  <c r="BP98" i="6"/>
  <c r="BO63" i="6"/>
  <c r="BN104" i="6"/>
  <c r="BR91" i="6"/>
  <c r="H34" i="10" l="1"/>
  <c r="BQ60" i="6"/>
  <c r="BO101" i="6"/>
  <c r="BO66" i="6"/>
  <c r="BR59" i="6"/>
  <c r="BS53" i="6"/>
  <c r="H36" i="10" l="1"/>
  <c r="BP63" i="6"/>
  <c r="BO104" i="6"/>
  <c r="BR97" i="6"/>
  <c r="BQ98" i="6"/>
  <c r="BS91" i="6"/>
  <c r="B11" i="8" l="1"/>
  <c r="B12" i="8"/>
  <c r="BS59" i="6"/>
  <c r="BR60" i="6"/>
  <c r="BP101" i="6"/>
  <c r="BP66" i="6"/>
  <c r="BT53" i="6"/>
  <c r="BR98" i="6" l="1"/>
  <c r="BQ63" i="6"/>
  <c r="BP104" i="6"/>
  <c r="BS97" i="6"/>
  <c r="BT91" i="6"/>
  <c r="BQ101" i="6" l="1"/>
  <c r="BQ66" i="6"/>
  <c r="BT59" i="6"/>
  <c r="BS60" i="6"/>
  <c r="BU53" i="6"/>
  <c r="BT97" i="6" l="1"/>
  <c r="BS98" i="6"/>
  <c r="BR63" i="6"/>
  <c r="BQ104" i="6"/>
  <c r="BU91" i="6"/>
  <c r="BT60" i="6" l="1"/>
  <c r="BR101" i="6"/>
  <c r="BR66" i="6"/>
  <c r="BU59" i="6"/>
  <c r="BV53" i="6"/>
  <c r="BS63" i="6" l="1"/>
  <c r="BR104" i="6"/>
  <c r="BU97" i="6"/>
  <c r="BT98" i="6"/>
  <c r="BV91" i="6"/>
  <c r="BV59" i="6" l="1"/>
  <c r="BU60" i="6"/>
  <c r="BS101" i="6"/>
  <c r="BS66" i="6"/>
  <c r="BW53" i="6"/>
  <c r="BU98" i="6" l="1"/>
  <c r="BT63" i="6"/>
  <c r="BS104" i="6"/>
  <c r="BV97" i="6"/>
  <c r="BW91" i="6"/>
  <c r="BT101" i="6" l="1"/>
  <c r="BT66" i="6"/>
  <c r="BW59" i="6"/>
  <c r="BV60" i="6"/>
  <c r="BU63" i="6" l="1"/>
  <c r="BT104" i="6"/>
  <c r="BW97" i="6"/>
  <c r="BV98" i="6"/>
  <c r="BW60" i="6" l="1"/>
  <c r="BU101" i="6"/>
  <c r="BU66" i="6"/>
  <c r="BW98" i="6" l="1"/>
  <c r="BV63" i="6"/>
  <c r="BU104" i="6"/>
  <c r="BV101" i="6" l="1"/>
  <c r="BV66" i="6"/>
  <c r="BW63" i="6" l="1"/>
  <c r="BV104" i="6"/>
  <c r="BW101" i="6" l="1"/>
  <c r="BW104" i="6" s="1"/>
  <c r="BW6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NESTOR IVAN NARANJO CHACON</author>
  </authors>
  <commentList>
    <comment ref="B11" authorId="0" shapeId="0" xr:uid="{00000000-0006-0000-0000-000001000000}">
      <text>
        <r>
          <rPr>
            <sz val="10"/>
            <color rgb="FF000000"/>
            <rFont val="Tahoma"/>
            <family val="2"/>
          </rPr>
          <t xml:space="preserve">Escriba el tipo de sociedad en la que espera registrar su empresa. Ejemplo: </t>
        </r>
        <r>
          <rPr>
            <b/>
            <sz val="10"/>
            <color rgb="FF000000"/>
            <rFont val="Tahoma"/>
            <family val="2"/>
          </rPr>
          <t>LTDA, S.A.S, S.A., E.U., etc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14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Si toda la empresa estará en Colombia, utilice la moneda local para registrar los datos en esta plantilla y en este espacio escriba: </t>
        </r>
        <r>
          <rPr>
            <b/>
            <sz val="11"/>
            <color rgb="FF000000"/>
            <rFont val="Calibri"/>
            <family val="2"/>
          </rPr>
          <t xml:space="preserve">COP. 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Si es un proyecto internacional, escriba todos los datos en dólares y en este espacio escriba: </t>
        </r>
        <r>
          <rPr>
            <b/>
            <sz val="11"/>
            <color rgb="FF000000"/>
            <rFont val="Calibri"/>
            <family val="2"/>
          </rPr>
          <t>USD</t>
        </r>
        <r>
          <rPr>
            <sz val="11"/>
            <color rgb="FF000000"/>
            <rFont val="Calibri"/>
            <family val="2"/>
          </rPr>
          <t xml:space="preserve">
</t>
        </r>
      </text>
    </comment>
    <comment ref="A19" authorId="0" shapeId="0" xr:uid="{00000000-0006-0000-0000-000003000000}">
      <text>
        <r>
          <rPr>
            <b/>
            <sz val="10"/>
            <color rgb="FF000000"/>
            <rFont val="Tahoma"/>
            <family val="2"/>
          </rPr>
          <t xml:space="preserve">Escriba aquí el nombre de cada uno de los socios del proyecto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19" authorId="0" shapeId="0" xr:uid="{00000000-0006-0000-0000-000004000000}">
      <text>
        <r>
          <rPr>
            <b/>
            <sz val="10"/>
            <color rgb="FF000000"/>
            <rFont val="Tahoma"/>
            <family val="2"/>
          </rPr>
          <t xml:space="preserve">ESTUDIANTE: </t>
        </r>
        <r>
          <rPr>
            <sz val="10"/>
            <color rgb="FF000000"/>
            <rFont val="Tahoma"/>
            <family val="2"/>
          </rPr>
          <t xml:space="preserve">Si el socio es estudiante activo en el concurso EXPO-EMPRESARIAL
</t>
        </r>
        <r>
          <rPr>
            <b/>
            <sz val="10"/>
            <color rgb="FF000000"/>
            <rFont val="Tahoma"/>
            <family val="2"/>
          </rPr>
          <t xml:space="preserve">EXTERNO: </t>
        </r>
        <r>
          <rPr>
            <sz val="10"/>
            <color rgb="FF000000"/>
            <rFont val="Tahoma"/>
            <family val="2"/>
          </rPr>
          <t>Si el socio no es estudiante activo</t>
        </r>
        <r>
          <rPr>
            <b/>
            <sz val="10"/>
            <color rgb="FF000000"/>
            <rFont val="Tahoma"/>
            <family val="2"/>
          </rPr>
          <t xml:space="preserve">
</t>
        </r>
      </text>
    </comment>
    <comment ref="C19" authorId="0" shapeId="0" xr:uid="{00000000-0006-0000-0000-000005000000}">
      <text>
        <r>
          <rPr>
            <sz val="10"/>
            <color rgb="FF000000"/>
            <rFont val="Tahoma"/>
            <family val="2"/>
          </rPr>
          <t xml:space="preserve">Escriba aquí el porcentaje de participación relativa que cada socio tendrá sobre el patrimonio de la empresa.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NESTOR IVAN NARANJO CHACON</author>
  </authors>
  <commentList>
    <comment ref="B48" authorId="0" shapeId="0" xr:uid="{00000000-0006-0000-0200-000001000000}">
      <text>
        <r>
          <rPr>
            <sz val="12"/>
            <color rgb="FF000000"/>
            <rFont val="Calibri"/>
            <family val="2"/>
          </rPr>
          <t xml:space="preserve">Todo empleado que devengue menos de dos salarios mínimos, debe recibir el auxilio de transporte que el gobierno establezca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NESTOR IVAN NARANJO CHACON</author>
  </authors>
  <commentList>
    <comment ref="B60" authorId="0" shapeId="0" xr:uid="{00000000-0006-0000-0300-000001000000}">
      <text>
        <r>
          <rPr>
            <sz val="12"/>
            <color rgb="FF000000"/>
            <rFont val="Calibri"/>
            <family val="2"/>
          </rPr>
          <t xml:space="preserve">Todo empleado que devengue menos de dos salarios mínimos, debe recibir el auxilio de transporte que el gobierno establezca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NESTOR IVAN NARANJO CHACON</author>
  </authors>
  <commentList>
    <comment ref="A10" authorId="0" shapeId="0" xr:uid="{00000000-0006-0000-0400-000001000000}">
      <text>
        <r>
          <rPr>
            <sz val="10"/>
            <color rgb="FF000000"/>
            <rFont val="Tahoma"/>
            <family val="2"/>
          </rPr>
          <t xml:space="preserve">Escriba aquí el nombre de la propiedad, planta o equipo que adquirirá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10" authorId="0" shapeId="0" xr:uid="{00000000-0006-0000-0400-000002000000}">
      <text>
        <r>
          <rPr>
            <sz val="10"/>
            <color rgb="FF000000"/>
            <rFont val="Tahoma"/>
            <family val="2"/>
          </rPr>
          <t xml:space="preserve">Escriba aquí la vida útil del activo, expresado en meses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NESTOR IVAN NARANJO CHACON</author>
  </authors>
  <commentList>
    <comment ref="A32" authorId="0" shapeId="0" xr:uid="{00000000-0006-0000-0500-000001000000}">
      <text>
        <r>
          <rPr>
            <b/>
            <sz val="10"/>
            <color rgb="FF000000"/>
            <rFont val="Tahoma"/>
            <family val="2"/>
          </rPr>
          <t>Coloque aquí el nombre de la entidad financiera que espera le otorgue el crédito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32" authorId="0" shapeId="0" xr:uid="{00000000-0006-0000-0500-000002000000}">
      <text>
        <r>
          <rPr>
            <b/>
            <sz val="10"/>
            <color rgb="FF000000"/>
            <rFont val="Tahoma"/>
            <family val="2"/>
          </rPr>
          <t>Coloque aquí la tasa de interés mensual del crédito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NESTOR IVAN NARANJO CHACON</author>
  </authors>
  <commentList>
    <comment ref="B60" authorId="0" shapeId="0" xr:uid="{00000000-0006-0000-0600-000001000000}">
      <text>
        <r>
          <rPr>
            <sz val="10"/>
            <color rgb="FF000000"/>
            <rFont val="Tahoma"/>
            <family val="2"/>
          </rPr>
          <t xml:space="preserve">Escriba aquí el porcentaje de caja mínima como referencia sobre el pasivo corriente
</t>
        </r>
      </text>
    </comment>
  </commentList>
</comments>
</file>

<file path=xl/sharedStrings.xml><?xml version="1.0" encoding="utf-8"?>
<sst xmlns="http://schemas.openxmlformats.org/spreadsheetml/2006/main" count="1420" uniqueCount="312">
  <si>
    <t>Información General</t>
  </si>
  <si>
    <t>NOMBRE DE LA EMPRESA</t>
  </si>
  <si>
    <t>TIZA</t>
  </si>
  <si>
    <t>TIPO DE SOCIEDAD</t>
  </si>
  <si>
    <t>S.A.S</t>
  </si>
  <si>
    <t>AÑO DE INICIO DE OPERACIONES</t>
  </si>
  <si>
    <t>PAÍS DONDE ESTAN LOS CLIENTES</t>
  </si>
  <si>
    <t>COLOMBIA</t>
  </si>
  <si>
    <t>MONEDA DE REFERENCIA</t>
  </si>
  <si>
    <t>COP</t>
  </si>
  <si>
    <t>Información general sobre los estudiantes a cargo del proyecto y socios adicionales</t>
  </si>
  <si>
    <t>NOMBRE DEL SOCIO</t>
  </si>
  <si>
    <t>TIPO DE SOCIO</t>
  </si>
  <si>
    <t>PARTICIPACIÓN</t>
  </si>
  <si>
    <t>Danna Sanchez</t>
  </si>
  <si>
    <t>ESTUDIANTE</t>
  </si>
  <si>
    <t>Sergio Nieto</t>
  </si>
  <si>
    <t>Daniel Martin</t>
  </si>
  <si>
    <t>Christian Morales</t>
  </si>
  <si>
    <t>INVERSOR 5</t>
  </si>
  <si>
    <t>INVERSOR 6</t>
  </si>
  <si>
    <t>Variables Macroeconómicas y otros datos de interés</t>
  </si>
  <si>
    <t>VARIABLES</t>
  </si>
  <si>
    <t>AÑO</t>
  </si>
  <si>
    <t>Tasa de cambio proyectada (COP/USD)</t>
  </si>
  <si>
    <t>Inflación Anual Esperada</t>
  </si>
  <si>
    <t>Tasa de Crecimiento de la Industria (proyectada)</t>
  </si>
  <si>
    <t>Salario Mínimo Mensual Legal Vigente proyectado</t>
  </si>
  <si>
    <t>Auxilio de Transporte Legal Proyectado</t>
  </si>
  <si>
    <t>Tasa del Impuesto de Renta Esperada</t>
  </si>
  <si>
    <t>PORTAFOLIO DE PRODUCTOS Y/O SERVICIOS</t>
  </si>
  <si>
    <t>NOMBRE DEL PRODUCTO O SERVICIO</t>
  </si>
  <si>
    <t>PRODUCTO O SERVICIO 1</t>
  </si>
  <si>
    <t>Suscripcion Freemium</t>
  </si>
  <si>
    <t>PRODUCTO O SERVICIO 2</t>
  </si>
  <si>
    <t>Suscripcion Premium</t>
  </si>
  <si>
    <t>PRODUCTO O SERVICIO 3</t>
  </si>
  <si>
    <t>PRODUCTO O SERVICIO 4</t>
  </si>
  <si>
    <t>PRODUCTO O SERVICIO 5</t>
  </si>
  <si>
    <t>PRODUCTO O SERVICIO 6</t>
  </si>
  <si>
    <t>PRODUCTO O SERVICIO 7</t>
  </si>
  <si>
    <t>PRODUCTO O SERVICIO 8</t>
  </si>
  <si>
    <t>PRODUCTO O SERVICIO 9</t>
  </si>
  <si>
    <t>PRODUCTO O SERVICIO 10</t>
  </si>
  <si>
    <t>PRODUCTO O SERVICIO 11</t>
  </si>
  <si>
    <t>PRODUCTO O SERVICIO 12</t>
  </si>
  <si>
    <t>PRODUCTO O SERVICIO 13</t>
  </si>
  <si>
    <t>PRODUCTO O SERVICIO 14</t>
  </si>
  <si>
    <t>PRODUCTO O SERVICIO 15</t>
  </si>
  <si>
    <t>GASTOS PREOPERATIVOS</t>
  </si>
  <si>
    <t>Registro en Camara de Comercio</t>
  </si>
  <si>
    <t>TOTAL GASTOS PRE-OPERATIVOS</t>
  </si>
  <si>
    <t>Riesgos Laborales</t>
  </si>
  <si>
    <t>Tipo de Riesgo</t>
  </si>
  <si>
    <t>Valor</t>
  </si>
  <si>
    <t>I</t>
  </si>
  <si>
    <t>II</t>
  </si>
  <si>
    <t>III</t>
  </si>
  <si>
    <t>IV</t>
  </si>
  <si>
    <t>V</t>
  </si>
  <si>
    <t>Plantilla Realizada por María Teresa Macías Joven</t>
  </si>
  <si>
    <t>Universidad de La Sabana</t>
  </si>
  <si>
    <t>Versión 2025</t>
  </si>
  <si>
    <t>®Todos los derechos reservados</t>
  </si>
  <si>
    <t xml:space="preserve">Si desea utilizar esta plantilla por fuera del programa Expo-Empresarial, clase de proyecto empresarial de la Universidad de La Sabana, asegúrese de poseer los derechos de uso por parte de la autora de la plantilla, con una autorización clara, expresa y por escrito. </t>
  </si>
  <si>
    <t xml:space="preserve">     PRESUPUESTO DE VENTAS</t>
  </si>
  <si>
    <t>PLAZO DE COBRO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</si>
  <si>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</si>
  <si>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</si>
  <si>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</si>
  <si>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</si>
  <si>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</si>
  <si>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</si>
  <si>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</si>
  <si>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</si>
  <si>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</si>
  <si>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</si>
  <si>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</si>
  <si>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</si>
  <si>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</si>
  <si>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</si>
  <si>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</si>
  <si>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</si>
  <si>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</si>
  <si>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</si>
  <si>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</si>
  <si>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</si>
  <si>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</si>
  <si>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</si>
  <si>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</si>
  <si>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</si>
  <si>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</si>
  <si>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</si>
  <si>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</si>
  <si>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</si>
  <si>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</si>
  <si>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</si>
  <si>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</si>
  <si>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</si>
  <si>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</si>
  <si>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</si>
  <si>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</si>
  <si>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</si>
  <si>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</si>
  <si>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</si>
  <si>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</si>
  <si>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</si>
  <si>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</si>
  <si>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</si>
  <si>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</si>
  <si>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</si>
  <si>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Mes 45</t>
  </si>
  <si>
    <t>Mes 46</t>
  </si>
  <si>
    <t>Mes 47</t>
  </si>
  <si>
    <t>Mes 48</t>
  </si>
  <si>
    <t>Mes 49</t>
  </si>
  <si>
    <t>Mes 50</t>
  </si>
  <si>
    <t>Mes 51</t>
  </si>
  <si>
    <t>Mes 52</t>
  </si>
  <si>
    <t>Mes 53</t>
  </si>
  <si>
    <t>Mes 54</t>
  </si>
  <si>
    <t>Mes 55</t>
  </si>
  <si>
    <t>Mes 56</t>
  </si>
  <si>
    <t>Mes 57</t>
  </si>
  <si>
    <t>Mes 58</t>
  </si>
  <si>
    <t>Mes 59</t>
  </si>
  <si>
    <t>Mes 60</t>
  </si>
  <si>
    <t>Plazo que otorgará a los clientes para que le paguen (en días)</t>
  </si>
  <si>
    <t>TOTAL INGRESOS</t>
  </si>
  <si>
    <t>TOTAL INGRESOS POR VENTAS</t>
  </si>
  <si>
    <t>Versión 2021</t>
  </si>
  <si>
    <t xml:space="preserve">     PRESUPUESTO DE COSTOS</t>
  </si>
  <si>
    <t>PRONÓSTICO DE COSTOS RELACIONADOS A LA PRODUCCIÓN DEL PRODUCTO O SERVICIO</t>
  </si>
  <si>
    <t>Suscripcion Geminy - API Key</t>
  </si>
  <si>
    <t>Dominio Web</t>
  </si>
  <si>
    <t>Suscripcion Supabase</t>
  </si>
  <si>
    <t>Internet (uso de internet en operaciones)</t>
  </si>
  <si>
    <t>Enel</t>
  </si>
  <si>
    <t>TOTAL PRONOSTICO DE COSTOS</t>
  </si>
  <si>
    <t>PRONOSTICO NOMINA OPERATIVA</t>
  </si>
  <si>
    <t>Cargo</t>
  </si>
  <si>
    <t>Salario mensual</t>
  </si>
  <si>
    <t>Desarrollador Junior 1</t>
  </si>
  <si>
    <t>TOTAL NÓMINA OPERATIVA</t>
  </si>
  <si>
    <t>Auxilios de Transporte</t>
  </si>
  <si>
    <t>ARL</t>
  </si>
  <si>
    <t>EPS</t>
  </si>
  <si>
    <t>AFP</t>
  </si>
  <si>
    <t>Caja de Compensación</t>
  </si>
  <si>
    <t>Primas</t>
  </si>
  <si>
    <t>Cesantías</t>
  </si>
  <si>
    <t>Int a las Cesantías</t>
  </si>
  <si>
    <t>Vacaciones</t>
  </si>
  <si>
    <t>TOTAL PRESTACIONES (OPERATIVAS)</t>
  </si>
  <si>
    <t>PLAZO DE PAGO Y PLAZO DE INVENTARIOS</t>
  </si>
  <si>
    <t>Plazo que le otorgarán los proveedores para pagar (en días)</t>
  </si>
  <si>
    <t>Tiempo promedio en el que mantendrán inventarios (en días)</t>
  </si>
  <si>
    <t xml:space="preserve">TOTAL COSTOS </t>
  </si>
  <si>
    <t xml:space="preserve">     PRESUPUESTO DE GASTOS</t>
  </si>
  <si>
    <t>GASTOS DE DISTRIBUCIÓN</t>
  </si>
  <si>
    <t>Empaque y embalaje</t>
  </si>
  <si>
    <t>Transporte, fletes y acarreos</t>
  </si>
  <si>
    <t>TOTAL GASTOS DE DISTRIBUCIÓN</t>
  </si>
  <si>
    <t>GASTOS DE VENTAS</t>
  </si>
  <si>
    <t>Publicidad, Propaganda y Promoción</t>
  </si>
  <si>
    <t>Comisiones de ventas</t>
  </si>
  <si>
    <t>TOTAL GASTOS DE VENTAS</t>
  </si>
  <si>
    <t>GASTOS ADMINISTRATIVOS</t>
  </si>
  <si>
    <t>Alquiler de oficinas y tiendas al público (no incluye Leasing)</t>
  </si>
  <si>
    <t>Servicios públicos de oficinas administrativas y comerciales</t>
  </si>
  <si>
    <t>Mantenimiento y reparación de la propiedad, planta y equipo</t>
  </si>
  <si>
    <t>Honorario de asesores (contables y/o legales) - supuestos</t>
  </si>
  <si>
    <t>Servicios de seguridad (pagados a terceros) -</t>
  </si>
  <si>
    <t>Gastos de Papelería - supuestos</t>
  </si>
  <si>
    <t>Gastos de aseo y cafetería - supuestos</t>
  </si>
  <si>
    <t>Internet (Uso de internet en parte administrativa)</t>
  </si>
  <si>
    <t>TOTAL GASTOS ADMINISTRATIVOS</t>
  </si>
  <si>
    <t>PRONÓSTICO DE NÓMINA ADMINISTRATIVA Y COMERCIAL</t>
  </si>
  <si>
    <t>TOTAL NÓMINA ADMINISTRATIVA Y COMERCIAL</t>
  </si>
  <si>
    <t>TOTAL PRESTACIONES (ADMINISTRACIÓN Y VENTAS)</t>
  </si>
  <si>
    <t>TOTAL GASTOS</t>
  </si>
  <si>
    <t>Gastos de Distribución</t>
  </si>
  <si>
    <t>Gastos de Ventas</t>
  </si>
  <si>
    <t>Gastos Administrativos</t>
  </si>
  <si>
    <t>Gastos de Nomina Administrativa y Comercial</t>
  </si>
  <si>
    <t>CESANTIAS E INTERESES POR PAGAR</t>
  </si>
  <si>
    <t>Cesantias Mano de Obra Operativa</t>
  </si>
  <si>
    <t>Intereses a las Cesantias MO Operativa</t>
  </si>
  <si>
    <t>Cesantias Mano de Obra Administrativa</t>
  </si>
  <si>
    <t>Intereses a las Cesantias MO Administrativa</t>
  </si>
  <si>
    <t>Prima de Servicios MO Operativa</t>
  </si>
  <si>
    <t>Prima de Servicios MO Administrativa</t>
  </si>
  <si>
    <t>TOTAL CUENTA POR PAGAR PRESTACIONES</t>
  </si>
  <si>
    <t xml:space="preserve">     PRESUPUESTO DE INVERSIONES</t>
  </si>
  <si>
    <t>COMPRA DE PROPIEDAD, PLANTA Y EQUIPO E INVERSIONES EN INTANGIBLES</t>
  </si>
  <si>
    <t>Vida Útil del Activo</t>
  </si>
  <si>
    <t>Mes 0</t>
  </si>
  <si>
    <t>TOTAL INVERSIONES EN PROPIEDAD, PLANTA Y EQUIPO</t>
  </si>
  <si>
    <t>DEPRECIACIÓN DE LA PROPIEDAD, PLANTA Y EQUIPO Y AMORTIZACIÓN DEL INTANGIBLE</t>
  </si>
  <si>
    <t>TOTAL DEPRECIACIONES DE LA PROPIEDAD, PLANTA Y EQUIPO</t>
  </si>
  <si>
    <t>Según la Lay 1819 de 2016, estas son las tasas de depreciación a aplicar en Colombia:</t>
  </si>
  <si>
    <t xml:space="preserve">     PRESUPUESTO DE FINANCIACIÓN</t>
  </si>
  <si>
    <t>Aportar modelos de socios y formas para levantar el capital.</t>
  </si>
  <si>
    <t>FINANCIACIÓN MEDIANTE CAPITAL DE RIESGO</t>
  </si>
  <si>
    <t>TOTAL APORTES DE CAPITAL SOCIAL</t>
  </si>
  <si>
    <t>AUTOFINANCIACIÓN: RETENCIÓN DE UTILIDADES</t>
  </si>
  <si>
    <t>Tasa de Retención</t>
  </si>
  <si>
    <t>FINANCIACIÓN MEDIANTE ENTIDADES FINANCIERAS</t>
  </si>
  <si>
    <t>Tasa de Interés Mensual</t>
  </si>
  <si>
    <t>W</t>
  </si>
  <si>
    <t>i</t>
  </si>
  <si>
    <t>W x i</t>
  </si>
  <si>
    <t>TOTAL DESEMBOLSOS POR FINANCIACIÓN</t>
  </si>
  <si>
    <t>RD</t>
  </si>
  <si>
    <t>ABONOS A CAPITAL</t>
  </si>
  <si>
    <t>Mes 61</t>
  </si>
  <si>
    <t>Mes 62</t>
  </si>
  <si>
    <t>Mes 63</t>
  </si>
  <si>
    <t>Mes 64</t>
  </si>
  <si>
    <t>Mes 65</t>
  </si>
  <si>
    <t>Mes 66</t>
  </si>
  <si>
    <t>Mes 67</t>
  </si>
  <si>
    <t>Mes 68</t>
  </si>
  <si>
    <t>Mes 69</t>
  </si>
  <si>
    <t>Mes 70</t>
  </si>
  <si>
    <t>Mes 71</t>
  </si>
  <si>
    <t>Mes 72</t>
  </si>
  <si>
    <t>TOTAL ABONOS A CAPITAL</t>
  </si>
  <si>
    <t>PAGO DE INTERESES Y OTROS GASTOS FINANCIEROS</t>
  </si>
  <si>
    <t>TOTAL INTERESES Y OTROS GASTOS FINANCIEROS</t>
  </si>
  <si>
    <t>SALDOS DE LA DEUDA</t>
  </si>
  <si>
    <t>TOTAL SALDOS DE LA DEUDA</t>
  </si>
  <si>
    <t>ESTADOS FINANCIEROS BÁSICOS</t>
  </si>
  <si>
    <t>ESTADO DE RESULTADOS</t>
  </si>
  <si>
    <t>Ventas</t>
  </si>
  <si>
    <t>Costo de Ventas</t>
  </si>
  <si>
    <t>UTILIDAD BRUTA</t>
  </si>
  <si>
    <t>Gastos de Administración y Ventas</t>
  </si>
  <si>
    <t>Gastos Pre-Operativos</t>
  </si>
  <si>
    <t>Depreciaciones</t>
  </si>
  <si>
    <t>UTILIDAD OPERATIVA</t>
  </si>
  <si>
    <t>Gastos Financieros</t>
  </si>
  <si>
    <t>UTILIDAD ANTES DE IMPUESTOS</t>
  </si>
  <si>
    <t>Impuestos</t>
  </si>
  <si>
    <t>UTILIDAD NETA</t>
  </si>
  <si>
    <t>CAPITAL DE TRABAJO</t>
  </si>
  <si>
    <t>Cuenta por Cobrar</t>
  </si>
  <si>
    <t>Inventario</t>
  </si>
  <si>
    <t>Proveedores</t>
  </si>
  <si>
    <t>Cuenta por Pagar Impuestos</t>
  </si>
  <si>
    <t>Cuenta por Pagar Prestaciones</t>
  </si>
  <si>
    <t>Cuenta por Pagar Dividendos</t>
  </si>
  <si>
    <t>Total Cuentas por Pagar (otros)</t>
  </si>
  <si>
    <t>PRESUPUESTO DE TESORERÍA</t>
  </si>
  <si>
    <t>Ingresos por Actividades de la Operación</t>
  </si>
  <si>
    <t>Egresos de efectivo por Compras</t>
  </si>
  <si>
    <t>Egresos de efectivo por Gastos</t>
  </si>
  <si>
    <t>Saldo Operativo</t>
  </si>
  <si>
    <t>Ingresos por Actividades de Inversión</t>
  </si>
  <si>
    <t xml:space="preserve">   Venta de Propiedad, Planta y Equipo</t>
  </si>
  <si>
    <t xml:space="preserve">   Venta de Inversiones </t>
  </si>
  <si>
    <t>Egresos por Actividades de Inversión</t>
  </si>
  <si>
    <t xml:space="preserve">   Compra de Propiedad, Planta y Equipo</t>
  </si>
  <si>
    <t xml:space="preserve">   Compra de Inversiones</t>
  </si>
  <si>
    <t>Saldo de Inversiones</t>
  </si>
  <si>
    <t>Ingresos por Actividades de Financiación</t>
  </si>
  <si>
    <t xml:space="preserve">   Desembolso de Créditos</t>
  </si>
  <si>
    <t xml:space="preserve">   Aportes de Capital Social</t>
  </si>
  <si>
    <t>Egresos por Actividades de Financiación</t>
  </si>
  <si>
    <t xml:space="preserve">   Pago de Intereses</t>
  </si>
  <si>
    <t xml:space="preserve">   Pago de Abonos a Capital</t>
  </si>
  <si>
    <t xml:space="preserve">   Pago de Dividendos</t>
  </si>
  <si>
    <t>Saldo de Financiación</t>
  </si>
  <si>
    <t>Caja Inicial</t>
  </si>
  <si>
    <t>Caja Final</t>
  </si>
  <si>
    <t>Validación</t>
  </si>
  <si>
    <t>Caja Mínima Esperada</t>
  </si>
  <si>
    <t>Capital faltante</t>
  </si>
  <si>
    <t>Cuenta por Pagar Cesantías e Intereses</t>
  </si>
  <si>
    <t>FLUJO DE CAJA LIBRE</t>
  </si>
  <si>
    <t>EBIT*(1-Tc)</t>
  </si>
  <si>
    <t>Depreciaciones y Amortizaciones</t>
  </si>
  <si>
    <t>Capital de Trabajo</t>
  </si>
  <si>
    <t>∆ Capital de Trabajo</t>
  </si>
  <si>
    <t>∆ Capex</t>
  </si>
  <si>
    <t xml:space="preserve">FLUJO DE CAJA LIBRE </t>
  </si>
  <si>
    <t>INDICADORES</t>
  </si>
  <si>
    <t>Margen Bruto</t>
  </si>
  <si>
    <t>Margen Operativo</t>
  </si>
  <si>
    <t>Margen Neto</t>
  </si>
  <si>
    <t>EBITDA</t>
  </si>
  <si>
    <t>El costo de la deuda se calcula correctamente si en la pestaña de financiación registran una tasa mensual.</t>
  </si>
  <si>
    <t>COSTO DE LA DEUDA</t>
  </si>
  <si>
    <t>COSTO DEL EQUITY</t>
  </si>
  <si>
    <t>WACC</t>
  </si>
  <si>
    <t>TIR A 5 AÑOS</t>
  </si>
  <si>
    <t>VPN A 5 AÑOS</t>
  </si>
  <si>
    <t>Diseño de marca y branding</t>
  </si>
  <si>
    <t>Hosting y dominio (configuración inicial)</t>
  </si>
  <si>
    <t>Licencias herramientas de desarrollo</t>
  </si>
  <si>
    <t>Certificado SSL y seguridad</t>
  </si>
  <si>
    <t>Prototipado y pruebas de usabilidad</t>
  </si>
  <si>
    <t>Desarrollador Junior 2</t>
  </si>
  <si>
    <t>Desarrollador Mid</t>
  </si>
  <si>
    <t>Desarrollador Senior</t>
  </si>
  <si>
    <t>Community Manager</t>
  </si>
  <si>
    <t>Soporte al Cliente</t>
  </si>
  <si>
    <t>Laptop Desarrollador 1</t>
  </si>
  <si>
    <t>Laptop Desarrollador 2</t>
  </si>
  <si>
    <t>Laptop Desarrollador 3</t>
  </si>
  <si>
    <t>Monitor Externo (x2)</t>
  </si>
  <si>
    <t>Laptop Desarrollador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</si>
</sst>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0\ &quot;días&quot;"/>
    <numFmt numFmtId="165" formatCode="&quot;$&quot;#,##0"/>
    <numFmt numFmtId="166" formatCode="0\ &quot;meses&quot;"/>
    <numFmt numFmtId="167" formatCode="&quot;$&quot;\ #,##0"/>
    <numFmt numFmtId="168" formatCode="0.000%"/>
    <numFmt numFmtId="169" formatCode="\$#,##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i/>
      <sz val="12"/>
      <color theme="2" tint="-0.499984740745262"/>
      <name val="Calibri"/>
      <family val="2"/>
      <scheme val="minor"/>
    </font>
    <font>
      <sz val="12"/>
      <color rgb="FF000000"/>
      <name val="Calibri"/>
      <family val="2"/>
    </font>
    <font>
      <b/>
      <i/>
      <u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name val="Tahoma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88402966399123"/>
        <bgColor rgb="FFBFBFBF"/>
      </patternFill>
    </fill>
    <fill>
      <patternFill patternType="solid">
        <fgColor theme="0" tint="-0.14999847407452621"/>
        <bgColor rgb="FFC9C9C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4">
    <xf numFmtId="0" fontId="0" fillId="0" borderId="0" xfId="0"/>
    <xf numFmtId="0" fontId="0" fillId="4" borderId="0" xfId="0" applyFill="1"/>
    <xf numFmtId="0" fontId="0" fillId="0" borderId="1" xfId="0" applyBorder="1"/>
    <xf numFmtId="0" fontId="6" fillId="0" borderId="0" xfId="0" applyFon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5" fontId="0" fillId="0" borderId="0" xfId="0" applyNumberFormat="1"/>
    <xf numFmtId="165" fontId="0" fillId="0" borderId="1" xfId="0" applyNumberFormat="1" applyBorder="1"/>
    <xf numFmtId="0" fontId="3" fillId="2" borderId="1" xfId="2" applyBorder="1"/>
    <xf numFmtId="165" fontId="3" fillId="2" borderId="1" xfId="2" applyNumberFormat="1" applyBorder="1"/>
    <xf numFmtId="0" fontId="6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0" fillId="0" borderId="1" xfId="3" applyFont="1" applyFill="1" applyBorder="1"/>
    <xf numFmtId="165" fontId="1" fillId="0" borderId="1" xfId="3" applyNumberFormat="1" applyFill="1" applyBorder="1"/>
    <xf numFmtId="165" fontId="0" fillId="0" borderId="1" xfId="3" applyNumberFormat="1" applyFont="1" applyFill="1" applyBorder="1"/>
    <xf numFmtId="0" fontId="0" fillId="3" borderId="1" xfId="3" applyFont="1" applyBorder="1" applyProtection="1">
      <protection locked="0"/>
    </xf>
    <xf numFmtId="0" fontId="0" fillId="3" borderId="1" xfId="3" applyFont="1" applyBorder="1" applyAlignment="1" applyProtection="1">
      <alignment horizontal="center"/>
      <protection locked="0"/>
    </xf>
    <xf numFmtId="9" fontId="1" fillId="3" borderId="1" xfId="1" applyFill="1" applyBorder="1" applyAlignment="1" applyProtection="1">
      <alignment horizontal="center"/>
      <protection locked="0"/>
    </xf>
    <xf numFmtId="0" fontId="1" fillId="3" borderId="1" xfId="3" applyBorder="1" applyProtection="1">
      <protection locked="0"/>
    </xf>
    <xf numFmtId="0" fontId="1" fillId="3" borderId="1" xfId="3" applyBorder="1" applyAlignment="1" applyProtection="1">
      <alignment horizontal="center"/>
      <protection locked="0"/>
    </xf>
    <xf numFmtId="165" fontId="1" fillId="3" borderId="1" xfId="3" applyNumberFormat="1" applyBorder="1" applyProtection="1">
      <protection locked="0"/>
    </xf>
    <xf numFmtId="10" fontId="1" fillId="3" borderId="1" xfId="3" applyNumberFormat="1" applyBorder="1" applyProtection="1">
      <protection locked="0"/>
    </xf>
    <xf numFmtId="10" fontId="0" fillId="3" borderId="1" xfId="1" applyNumberFormat="1" applyFont="1" applyFill="1" applyBorder="1" applyProtection="1">
      <protection locked="0"/>
    </xf>
    <xf numFmtId="165" fontId="0" fillId="3" borderId="1" xfId="3" applyNumberFormat="1" applyFont="1" applyBorder="1" applyProtection="1">
      <protection locked="0"/>
    </xf>
    <xf numFmtId="0" fontId="3" fillId="0" borderId="0" xfId="2" applyFill="1" applyBorder="1" applyAlignment="1">
      <alignment horizontal="left"/>
    </xf>
    <xf numFmtId="165" fontId="3" fillId="0" borderId="0" xfId="2" applyNumberFormat="1" applyFill="1" applyBorder="1"/>
    <xf numFmtId="166" fontId="1" fillId="3" borderId="1" xfId="3" applyNumberFormat="1" applyBorder="1" applyProtection="1">
      <protection locked="0"/>
    </xf>
    <xf numFmtId="164" fontId="1" fillId="3" borderId="1" xfId="3" applyNumberFormat="1" applyBorder="1" applyAlignment="1" applyProtection="1">
      <protection locked="0"/>
    </xf>
    <xf numFmtId="0" fontId="0" fillId="5" borderId="1" xfId="0" applyFill="1" applyBorder="1"/>
    <xf numFmtId="0" fontId="0" fillId="5" borderId="0" xfId="0" applyFill="1"/>
    <xf numFmtId="42" fontId="0" fillId="3" borderId="1" xfId="4" applyFont="1" applyFill="1" applyBorder="1" applyProtection="1">
      <protection locked="0"/>
    </xf>
    <xf numFmtId="42" fontId="0" fillId="3" borderId="1" xfId="3" applyNumberFormat="1" applyFont="1" applyBorder="1" applyProtection="1">
      <protection locked="0"/>
    </xf>
    <xf numFmtId="165" fontId="1" fillId="0" borderId="1" xfId="3" applyNumberFormat="1" applyFill="1" applyBorder="1" applyProtection="1">
      <protection locked="0"/>
    </xf>
    <xf numFmtId="0" fontId="0" fillId="0" borderId="1" xfId="3" applyFont="1" applyFill="1" applyBorder="1" applyProtection="1">
      <protection locked="0"/>
    </xf>
    <xf numFmtId="9" fontId="0" fillId="3" borderId="1" xfId="3" applyNumberFormat="1" applyFont="1" applyBorder="1" applyProtection="1">
      <protection locked="0"/>
    </xf>
    <xf numFmtId="0" fontId="8" fillId="0" borderId="0" xfId="0" applyFont="1" applyAlignment="1">
      <alignment horizontal="left"/>
    </xf>
    <xf numFmtId="0" fontId="0" fillId="0" borderId="1" xfId="3" applyFont="1" applyFill="1" applyBorder="1" applyProtection="1"/>
    <xf numFmtId="165" fontId="1" fillId="0" borderId="1" xfId="3" applyNumberFormat="1" applyFill="1" applyBorder="1" applyProtection="1"/>
    <xf numFmtId="0" fontId="0" fillId="0" borderId="2" xfId="3" applyFont="1" applyFill="1" applyBorder="1" applyAlignment="1" applyProtection="1">
      <alignment horizontal="left"/>
    </xf>
    <xf numFmtId="0" fontId="0" fillId="0" borderId="3" xfId="3" applyFont="1" applyFill="1" applyBorder="1" applyAlignment="1" applyProtection="1">
      <alignment horizontal="left"/>
    </xf>
    <xf numFmtId="165" fontId="0" fillId="0" borderId="1" xfId="3" applyNumberFormat="1" applyFont="1" applyFill="1" applyBorder="1" applyProtection="1"/>
    <xf numFmtId="165" fontId="10" fillId="0" borderId="1" xfId="3" applyNumberFormat="1" applyFont="1" applyFill="1" applyBorder="1" applyProtection="1"/>
    <xf numFmtId="0" fontId="10" fillId="0" borderId="0" xfId="0" applyFo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0" fillId="0" borderId="2" xfId="3" applyFont="1" applyFill="1" applyBorder="1" applyAlignment="1" applyProtection="1">
      <alignment horizontal="left"/>
    </xf>
    <xf numFmtId="0" fontId="10" fillId="0" borderId="3" xfId="3" applyFont="1" applyFill="1" applyBorder="1" applyAlignment="1" applyProtection="1">
      <alignment horizontal="left"/>
    </xf>
    <xf numFmtId="165" fontId="10" fillId="0" borderId="1" xfId="0" applyNumberFormat="1" applyFont="1" applyBorder="1"/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4" borderId="10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10" fontId="0" fillId="0" borderId="1" xfId="1" applyNumberFormat="1" applyFont="1" applyBorder="1" applyProtection="1"/>
    <xf numFmtId="17" fontId="2" fillId="4" borderId="1" xfId="0" applyNumberFormat="1" applyFont="1" applyFill="1" applyBorder="1" applyAlignment="1">
      <alignment horizontal="center"/>
    </xf>
    <xf numFmtId="165" fontId="6" fillId="0" borderId="0" xfId="0" applyNumberFormat="1" applyFont="1"/>
    <xf numFmtId="0" fontId="15" fillId="0" borderId="0" xfId="0" applyFont="1"/>
    <xf numFmtId="44" fontId="13" fillId="0" borderId="0" xfId="5" applyFont="1" applyFill="1" applyBorder="1"/>
    <xf numFmtId="44" fontId="15" fillId="0" borderId="1" xfId="5" applyFont="1" applyBorder="1" applyAlignment="1">
      <alignment horizontal="center"/>
    </xf>
    <xf numFmtId="44" fontId="13" fillId="0" borderId="1" xfId="5" applyFont="1" applyFill="1" applyBorder="1" applyAlignment="1">
      <alignment horizontal="center"/>
    </xf>
    <xf numFmtId="168" fontId="13" fillId="0" borderId="1" xfId="5" applyNumberFormat="1" applyFont="1" applyFill="1" applyBorder="1" applyAlignment="1">
      <alignment horizontal="center"/>
    </xf>
    <xf numFmtId="10" fontId="0" fillId="0" borderId="0" xfId="1" applyNumberFormat="1" applyFont="1"/>
    <xf numFmtId="10" fontId="3" fillId="5" borderId="0" xfId="1" applyNumberFormat="1" applyFont="1" applyFill="1" applyProtection="1"/>
    <xf numFmtId="9" fontId="0" fillId="0" borderId="0" xfId="0" applyNumberFormat="1"/>
    <xf numFmtId="165" fontId="0" fillId="0" borderId="1" xfId="3" applyNumberFormat="1" applyFont="1" applyFill="1" applyBorder="1" applyAlignment="1" applyProtection="1"/>
    <xf numFmtId="10" fontId="1" fillId="3" borderId="1" xfId="1" applyNumberFormat="1" applyFill="1" applyBorder="1" applyAlignment="1" applyProtection="1">
      <protection locked="0"/>
    </xf>
    <xf numFmtId="10" fontId="0" fillId="3" borderId="1" xfId="1" applyNumberFormat="1" applyFont="1" applyFill="1" applyBorder="1" applyAlignment="1" applyProtection="1">
      <protection locked="0"/>
    </xf>
    <xf numFmtId="10" fontId="1" fillId="0" borderId="1" xfId="1" applyNumberFormat="1" applyFill="1" applyBorder="1" applyAlignment="1" applyProtection="1"/>
    <xf numFmtId="0" fontId="16" fillId="0" borderId="0" xfId="0" applyFont="1"/>
    <xf numFmtId="0" fontId="17" fillId="0" borderId="0" xfId="0" applyFont="1"/>
    <xf numFmtId="10" fontId="0" fillId="0" borderId="1" xfId="1" applyNumberFormat="1" applyFont="1" applyFill="1" applyBorder="1" applyProtection="1"/>
    <xf numFmtId="10" fontId="1" fillId="0" borderId="1" xfId="1" applyNumberFormat="1" applyFill="1" applyBorder="1" applyProtection="1"/>
    <xf numFmtId="0" fontId="0" fillId="0" borderId="2" xfId="3" applyFont="1" applyFill="1" applyBorder="1" applyAlignment="1">
      <alignment horizontal="left"/>
    </xf>
    <xf numFmtId="0" fontId="0" fillId="0" borderId="3" xfId="3" applyFont="1" applyFill="1" applyBorder="1" applyAlignment="1">
      <alignment horizontal="left"/>
    </xf>
    <xf numFmtId="0" fontId="19" fillId="4" borderId="0" xfId="0" applyFont="1" applyFill="1"/>
    <xf numFmtId="0" fontId="19" fillId="0" borderId="0" xfId="0" applyFont="1"/>
    <xf numFmtId="0" fontId="20" fillId="0" borderId="0" xfId="0" applyFont="1"/>
    <xf numFmtId="0" fontId="16" fillId="4" borderId="0" xfId="0" applyFont="1" applyFill="1"/>
    <xf numFmtId="0" fontId="21" fillId="0" borderId="0" xfId="0" applyFont="1"/>
    <xf numFmtId="0" fontId="0" fillId="0" borderId="2" xfId="3" applyFont="1" applyFill="1" applyBorder="1" applyAlignment="1">
      <alignment horizontal="left" wrapText="1"/>
    </xf>
    <xf numFmtId="0" fontId="0" fillId="0" borderId="3" xfId="3" applyFont="1" applyFill="1" applyBorder="1" applyAlignment="1">
      <alignment horizontal="left" wrapText="1"/>
    </xf>
    <xf numFmtId="167" fontId="0" fillId="0" borderId="1" xfId="3" applyNumberFormat="1" applyFont="1" applyFill="1" applyBorder="1"/>
    <xf numFmtId="167" fontId="0" fillId="0" borderId="0" xfId="0" applyNumberFormat="1"/>
    <xf numFmtId="0" fontId="2" fillId="4" borderId="9" xfId="0" applyFont="1" applyFill="1" applyBorder="1" applyAlignment="1">
      <alignment vertical="center"/>
    </xf>
    <xf numFmtId="167" fontId="0" fillId="0" borderId="1" xfId="4" applyNumberFormat="1" applyFont="1" applyFill="1" applyBorder="1"/>
    <xf numFmtId="0" fontId="0" fillId="0" borderId="2" xfId="3" applyFont="1" applyFill="1" applyBorder="1" applyAlignment="1"/>
    <xf numFmtId="0" fontId="0" fillId="0" borderId="3" xfId="3" applyFont="1" applyFill="1" applyBorder="1" applyAlignment="1"/>
    <xf numFmtId="0" fontId="18" fillId="0" borderId="0" xfId="0" applyFont="1"/>
    <xf numFmtId="0" fontId="22" fillId="0" borderId="0" xfId="0" applyFont="1"/>
    <xf numFmtId="0" fontId="3" fillId="0" borderId="0" xfId="0" applyFont="1"/>
    <xf numFmtId="42" fontId="3" fillId="0" borderId="0" xfId="0" applyNumberFormat="1" applyFont="1"/>
    <xf numFmtId="10" fontId="3" fillId="0" borderId="0" xfId="1" applyNumberFormat="1" applyFont="1"/>
    <xf numFmtId="0" fontId="3" fillId="0" borderId="0" xfId="1" applyNumberFormat="1" applyFont="1"/>
    <xf numFmtId="165" fontId="3" fillId="0" borderId="1" xfId="3" applyNumberFormat="1" applyFont="1" applyFill="1" applyBorder="1"/>
    <xf numFmtId="2" fontId="18" fillId="0" borderId="0" xfId="0" applyNumberFormat="1" applyFont="1"/>
    <xf numFmtId="165" fontId="1" fillId="6" borderId="1" xfId="3" applyNumberFormat="1" applyFill="1" applyBorder="1" applyProtection="1">
      <protection locked="0"/>
    </xf>
    <xf numFmtId="0" fontId="1" fillId="6" borderId="1" xfId="3" applyNumberFormat="1" applyFill="1" applyBorder="1" applyProtection="1">
      <protection locked="0"/>
    </xf>
    <xf numFmtId="165" fontId="0" fillId="7" borderId="1" xfId="0" applyNumberFormat="1" applyFill="1" applyBorder="1"/>
    <xf numFmtId="165" fontId="0" fillId="7" borderId="0" xfId="0" applyNumberFormat="1" applyFill="1"/>
    <xf numFmtId="0" fontId="0" fillId="7" borderId="0" xfId="0" applyFill="1"/>
    <xf numFmtId="0" fontId="0" fillId="7" borderId="2" xfId="3" applyFont="1" applyFill="1" applyBorder="1" applyAlignment="1" applyProtection="1">
      <alignment horizontal="left"/>
    </xf>
    <xf numFmtId="0" fontId="0" fillId="7" borderId="3" xfId="3" applyFont="1" applyFill="1" applyBorder="1" applyAlignment="1" applyProtection="1">
      <alignment horizontal="left"/>
    </xf>
    <xf numFmtId="0" fontId="0" fillId="7" borderId="1" xfId="3" applyFont="1" applyFill="1" applyBorder="1" applyProtection="1"/>
    <xf numFmtId="0" fontId="2" fillId="4" borderId="1" xfId="0" applyFont="1" applyFill="1" applyBorder="1" applyAlignment="1">
      <alignment horizontal="center"/>
    </xf>
    <xf numFmtId="0" fontId="0" fillId="0" borderId="2" xfId="3" applyFont="1" applyFill="1" applyBorder="1" applyAlignment="1">
      <alignment horizontal="left"/>
    </xf>
    <xf numFmtId="0" fontId="0" fillId="0" borderId="3" xfId="3" applyFont="1" applyFill="1" applyBorder="1" applyAlignment="1">
      <alignment horizontal="left"/>
    </xf>
    <xf numFmtId="0" fontId="2" fillId="4" borderId="10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3" fillId="2" borderId="2" xfId="2" applyBorder="1" applyAlignment="1">
      <alignment horizontal="left"/>
    </xf>
    <xf numFmtId="0" fontId="3" fillId="2" borderId="3" xfId="2" applyBorder="1" applyAlignment="1">
      <alignment horizontal="left"/>
    </xf>
    <xf numFmtId="0" fontId="6" fillId="0" borderId="8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3" applyFont="1" applyFill="1" applyBorder="1" applyAlignment="1" applyProtection="1">
      <alignment horizontal="left"/>
    </xf>
    <xf numFmtId="0" fontId="0" fillId="0" borderId="3" xfId="3" applyFont="1" applyFill="1" applyBorder="1" applyAlignment="1" applyProtection="1">
      <alignment horizontal="left"/>
    </xf>
    <xf numFmtId="0" fontId="20" fillId="0" borderId="0" xfId="0" applyFont="1" applyAlignment="1">
      <alignment horizontal="left" wrapText="1"/>
    </xf>
    <xf numFmtId="0" fontId="0" fillId="3" borderId="2" xfId="3" applyFont="1" applyBorder="1" applyAlignment="1" applyProtection="1">
      <alignment horizontal="left"/>
      <protection locked="0"/>
    </xf>
    <xf numFmtId="0" fontId="0" fillId="3" borderId="3" xfId="3" applyFont="1" applyBorder="1" applyAlignment="1" applyProtection="1">
      <alignment horizontal="left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0" fillId="3" borderId="1" xfId="3" applyFont="1" applyBorder="1" applyAlignment="1" applyProtection="1">
      <alignment horizontal="center"/>
      <protection locked="0"/>
    </xf>
    <xf numFmtId="0" fontId="1" fillId="3" borderId="1" xfId="3" applyBorder="1" applyAlignment="1" applyProtection="1">
      <alignment horizontal="center"/>
      <protection locked="0"/>
    </xf>
    <xf numFmtId="0" fontId="2" fillId="4" borderId="2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2" xfId="3" applyFill="1" applyBorder="1" applyAlignment="1">
      <alignment horizontal="left"/>
    </xf>
    <xf numFmtId="0" fontId="1" fillId="0" borderId="3" xfId="3" applyFill="1" applyBorder="1" applyAlignment="1">
      <alignment horizontal="left"/>
    </xf>
    <xf numFmtId="0" fontId="2" fillId="4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0" fillId="0" borderId="2" xfId="3" applyFont="1" applyFill="1" applyBorder="1" applyAlignment="1" applyProtection="1">
      <alignment horizontal="left"/>
    </xf>
    <xf numFmtId="0" fontId="10" fillId="0" borderId="3" xfId="3" applyFont="1" applyFill="1" applyBorder="1" applyAlignment="1" applyProtection="1">
      <alignment horizontal="left"/>
    </xf>
    <xf numFmtId="0" fontId="0" fillId="0" borderId="1" xfId="3" applyFont="1" applyFill="1" applyBorder="1" applyAlignment="1" applyProtection="1">
      <alignment horizontal="left"/>
    </xf>
    <xf numFmtId="0" fontId="10" fillId="0" borderId="1" xfId="3" applyFont="1" applyFill="1" applyBorder="1" applyAlignment="1" applyProtection="1">
      <alignment horizontal="left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1" fillId="0" borderId="2" xfId="3" applyFill="1" applyBorder="1" applyAlignment="1" applyProtection="1">
      <alignment horizontal="left"/>
    </xf>
    <xf numFmtId="0" fontId="1" fillId="0" borderId="3" xfId="3" applyFill="1" applyBorder="1" applyAlignment="1" applyProtection="1">
      <alignment horizontal="left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horizontal="left"/>
    </xf>
    <xf numFmtId="0" fontId="0" fillId="0" borderId="2" xfId="3" applyFont="1" applyFill="1" applyBorder="1" applyAlignment="1">
      <alignment horizontal="left" wrapText="1"/>
    </xf>
    <xf numFmtId="0" fontId="0" fillId="0" borderId="3" xfId="3" applyFont="1" applyFill="1" applyBorder="1" applyAlignment="1">
      <alignment horizontal="left" wrapText="1"/>
    </xf>
    <xf numFmtId="169" fontId="0" fillId="8" borderId="1" xfId="0" applyNumberFormat="1" applyFill="1" applyBorder="1" applyProtection="1">
      <protection locked="0"/>
    </xf>
    <xf numFmtId="169" fontId="0" fillId="9" borderId="1" xfId="0" applyNumberFormat="1" applyFill="1" applyBorder="1" applyProtection="1">
      <protection locked="0"/>
    </xf>
    <xf numFmtId="169" fontId="0" fillId="8" borderId="1" xfId="0" applyNumberFormat="1" applyFill="1" applyBorder="1" applyAlignment="1" applyProtection="1">
      <alignment wrapText="1"/>
      <protection locked="0"/>
    </xf>
    <xf numFmtId="0" fontId="0" fillId="8" borderId="1" xfId="0" applyFill="1" applyBorder="1" applyProtection="1">
      <protection locked="0"/>
    </xf>
  </cellXfs>
  <cellStyles count="6">
    <cellStyle name="60% - Énfasis3" xfId="3" builtinId="40"/>
    <cellStyle name="Énfasis1" xfId="2" builtinId="29"/>
    <cellStyle name="Moneda" xfId="5" builtinId="4"/>
    <cellStyle name="Moneda [0]" xfId="4" builtinId="7"/>
    <cellStyle name="Normal" xfId="0" builtinId="0"/>
    <cellStyle name="Porcentaje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Ventas  Totales Presupuestadas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INGRESOS!$B$30:$BI$30</c:f>
              <c:numCache>
                <c:formatCode>"$"#,##0</c:formatCode>
                <c:ptCount val="60"/>
                <c:pt idx="0">
                  <c:v>400000</c:v>
                </c:pt>
                <c:pt idx="1">
                  <c:v>600000</c:v>
                </c:pt>
                <c:pt idx="2">
                  <c:v>880000</c:v>
                </c:pt>
                <c:pt idx="3">
                  <c:v>1200000</c:v>
                </c:pt>
                <c:pt idx="4">
                  <c:v>1520000</c:v>
                </c:pt>
                <c:pt idx="5">
                  <c:v>1800000</c:v>
                </c:pt>
                <c:pt idx="6">
                  <c:v>2200000</c:v>
                </c:pt>
                <c:pt idx="7">
                  <c:v>2600000</c:v>
                </c:pt>
                <c:pt idx="8">
                  <c:v>3000000</c:v>
                </c:pt>
                <c:pt idx="9">
                  <c:v>3400000</c:v>
                </c:pt>
                <c:pt idx="10">
                  <c:v>3800000</c:v>
                </c:pt>
                <c:pt idx="11">
                  <c:v>4400000</c:v>
                </c:pt>
                <c:pt idx="12">
                  <c:v>5000000</c:v>
                </c:pt>
                <c:pt idx="13">
                  <c:v>5800000</c:v>
                </c:pt>
                <c:pt idx="14">
                  <c:v>6600000</c:v>
                </c:pt>
                <c:pt idx="15">
                  <c:v>7400000</c:v>
                </c:pt>
                <c:pt idx="16">
                  <c:v>8400000</c:v>
                </c:pt>
                <c:pt idx="17">
                  <c:v>9400000</c:v>
                </c:pt>
                <c:pt idx="18">
                  <c:v>10400000</c:v>
                </c:pt>
                <c:pt idx="19">
                  <c:v>11600000</c:v>
                </c:pt>
                <c:pt idx="20">
                  <c:v>12800000</c:v>
                </c:pt>
                <c:pt idx="21">
                  <c:v>14000000</c:v>
                </c:pt>
                <c:pt idx="22">
                  <c:v>15200000</c:v>
                </c:pt>
                <c:pt idx="23">
                  <c:v>16800000</c:v>
                </c:pt>
                <c:pt idx="24">
                  <c:v>18400000</c:v>
                </c:pt>
                <c:pt idx="25">
                  <c:v>20000000</c:v>
                </c:pt>
                <c:pt idx="26">
                  <c:v>21800000</c:v>
                </c:pt>
                <c:pt idx="27">
                  <c:v>23600000</c:v>
                </c:pt>
                <c:pt idx="28">
                  <c:v>25600000</c:v>
                </c:pt>
                <c:pt idx="29">
                  <c:v>27600000</c:v>
                </c:pt>
                <c:pt idx="30">
                  <c:v>29800000</c:v>
                </c:pt>
                <c:pt idx="31">
                  <c:v>32000000</c:v>
                </c:pt>
                <c:pt idx="32">
                  <c:v>34400000</c:v>
                </c:pt>
                <c:pt idx="33">
                  <c:v>36800000</c:v>
                </c:pt>
                <c:pt idx="34">
                  <c:v>39200000</c:v>
                </c:pt>
                <c:pt idx="35">
                  <c:v>42000000</c:v>
                </c:pt>
                <c:pt idx="36">
                  <c:v>44800000</c:v>
                </c:pt>
                <c:pt idx="37">
                  <c:v>47600000</c:v>
                </c:pt>
                <c:pt idx="38">
                  <c:v>50400000</c:v>
                </c:pt>
                <c:pt idx="39">
                  <c:v>53600000</c:v>
                </c:pt>
                <c:pt idx="40">
                  <c:v>56800000</c:v>
                </c:pt>
                <c:pt idx="41">
                  <c:v>60000000</c:v>
                </c:pt>
                <c:pt idx="42">
                  <c:v>63200000</c:v>
                </c:pt>
                <c:pt idx="43">
                  <c:v>66400000</c:v>
                </c:pt>
                <c:pt idx="44">
                  <c:v>69600000</c:v>
                </c:pt>
                <c:pt idx="45">
                  <c:v>73200000</c:v>
                </c:pt>
                <c:pt idx="46">
                  <c:v>76800000</c:v>
                </c:pt>
                <c:pt idx="47">
                  <c:v>80800000</c:v>
                </c:pt>
                <c:pt idx="48">
                  <c:v>84800000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INGRESOS!#REF!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CEC-4046-AC7C-9DD95FD777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04156656"/>
        <c:axId val="1504158336"/>
      </c:barChart>
      <c:catAx>
        <c:axId val="150415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4158336"/>
        <c:crosses val="autoZero"/>
        <c:auto val="1"/>
        <c:lblAlgn val="ctr"/>
        <c:lblOffset val="100"/>
        <c:noMultiLvlLbl val="1"/>
      </c:catAx>
      <c:valAx>
        <c:axId val="1504158336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50415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FLUJOS DE EFECTIVO MENSUALES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PRESUPUESTO!$C$32:$BK$32</c:f>
              <c:strCache>
                <c:ptCount val="61"/>
                <c:pt idx="0">
                  <c:v>Mes 0</c:v>
                </c:pt>
                <c:pt idx="1">
                  <c:v>Mes 1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  <c:pt idx="15">
                  <c:v>Mes 15</c:v>
                </c:pt>
                <c:pt idx="16">
                  <c:v>Mes 16</c:v>
                </c:pt>
                <c:pt idx="17">
                  <c:v>Mes 17</c:v>
                </c:pt>
                <c:pt idx="18">
                  <c:v>Mes 18</c:v>
                </c:pt>
                <c:pt idx="19">
                  <c:v>Mes 19</c:v>
                </c:pt>
                <c:pt idx="20">
                  <c:v>Mes 20</c:v>
                </c:pt>
                <c:pt idx="21">
                  <c:v>Mes 21</c:v>
                </c:pt>
                <c:pt idx="22">
                  <c:v>Mes 22</c:v>
                </c:pt>
                <c:pt idx="23">
                  <c:v>Mes 23</c:v>
                </c:pt>
                <c:pt idx="24">
                  <c:v>Mes 24</c:v>
                </c:pt>
                <c:pt idx="25">
                  <c:v>Mes 25</c:v>
                </c:pt>
                <c:pt idx="26">
                  <c:v>Mes 26</c:v>
                </c:pt>
                <c:pt idx="27">
                  <c:v>Mes 27</c:v>
                </c:pt>
                <c:pt idx="28">
                  <c:v>Mes 28</c:v>
                </c:pt>
                <c:pt idx="29">
                  <c:v>Mes 29</c:v>
                </c:pt>
                <c:pt idx="30">
                  <c:v>Mes 30</c:v>
                </c:pt>
                <c:pt idx="31">
                  <c:v>Mes 31</c:v>
                </c:pt>
                <c:pt idx="32">
                  <c:v>Mes 32</c:v>
                </c:pt>
                <c:pt idx="33">
                  <c:v>Mes 33</c:v>
                </c:pt>
                <c:pt idx="34">
                  <c:v>Mes 34</c:v>
                </c:pt>
                <c:pt idx="35">
                  <c:v>Mes 35</c:v>
                </c:pt>
                <c:pt idx="36">
                  <c:v>Mes 36</c:v>
                </c:pt>
                <c:pt idx="37">
                  <c:v>Mes 37</c:v>
                </c:pt>
                <c:pt idx="38">
                  <c:v>Mes 38</c:v>
                </c:pt>
                <c:pt idx="39">
                  <c:v>Mes 39</c:v>
                </c:pt>
                <c:pt idx="40">
                  <c:v>Mes 40</c:v>
                </c:pt>
                <c:pt idx="41">
                  <c:v>Mes 41</c:v>
                </c:pt>
                <c:pt idx="42">
                  <c:v>Mes 42</c:v>
                </c:pt>
                <c:pt idx="43">
                  <c:v>Mes 43</c:v>
                </c:pt>
                <c:pt idx="44">
                  <c:v>Mes 44</c:v>
                </c:pt>
                <c:pt idx="45">
                  <c:v>Mes 45</c:v>
                </c:pt>
                <c:pt idx="46">
                  <c:v>Mes 46</c:v>
                </c:pt>
                <c:pt idx="47">
                  <c:v>Mes 47</c:v>
                </c:pt>
                <c:pt idx="48">
                  <c:v>Mes 48</c:v>
                </c:pt>
                <c:pt idx="49">
                  <c:v>Mes 49</c:v>
                </c:pt>
                <c:pt idx="50">
                  <c:v>Mes 50</c:v>
                </c:pt>
                <c:pt idx="51">
                  <c:v>Mes 51</c:v>
                </c:pt>
                <c:pt idx="52">
                  <c:v>Mes 52</c:v>
                </c:pt>
                <c:pt idx="53">
                  <c:v>Mes 53</c:v>
                </c:pt>
                <c:pt idx="54">
                  <c:v>Mes 54</c:v>
                </c:pt>
                <c:pt idx="55">
                  <c:v>Mes 55</c:v>
                </c:pt>
                <c:pt idx="56">
                  <c:v>Mes 56</c:v>
                </c:pt>
                <c:pt idx="57">
                  <c:v>Mes 57</c:v>
                </c:pt>
                <c:pt idx="58">
                  <c:v>Mes 58</c:v>
                </c:pt>
                <c:pt idx="59">
                  <c:v>Mes 59</c:v>
                </c:pt>
                <c:pt idx="60">
                  <c:v>Mes 60</c:v>
                </c:pt>
              </c:strCache>
            </c:strRef>
          </c:cat>
          <c:val>
            <c:numRef>
              <c:f>PRESUPUESTO!$C$56:$BK$56</c:f>
              <c:numCache>
                <c:formatCode>"$"#,##0</c:formatCode>
                <c:ptCount val="61"/>
                <c:pt idx="0">
                  <c:v>5618000</c:v>
                </c:pt>
                <c:pt idx="1">
                  <c:v>675079.66666666698</c:v>
                </c:pt>
                <c:pt idx="2">
                  <c:v>-4071160.666666666</c:v>
                </c:pt>
                <c:pt idx="3">
                  <c:v>-8542049</c:v>
                </c:pt>
                <c:pt idx="4">
                  <c:v>-12698249.333333332</c:v>
                </c:pt>
                <c:pt idx="5">
                  <c:v>-16539761.666666666</c:v>
                </c:pt>
                <c:pt idx="6">
                  <c:v>-20105922</c:v>
                </c:pt>
                <c:pt idx="7">
                  <c:v>-25132472.333333332</c:v>
                </c:pt>
                <c:pt idx="8">
                  <c:v>-28015662.666666664</c:v>
                </c:pt>
                <c:pt idx="9">
                  <c:v>-30505492.999999996</c:v>
                </c:pt>
                <c:pt idx="10">
                  <c:v>-32601963.333333328</c:v>
                </c:pt>
                <c:pt idx="11">
                  <c:v>-34305073.666666664</c:v>
                </c:pt>
                <c:pt idx="12">
                  <c:v>-35418144</c:v>
                </c:pt>
                <c:pt idx="13">
                  <c:v>-50860608</c:v>
                </c:pt>
                <c:pt idx="14">
                  <c:v>-60231768</c:v>
                </c:pt>
                <c:pt idx="15">
                  <c:v>-68816624</c:v>
                </c:pt>
                <c:pt idx="16">
                  <c:v>-76615176</c:v>
                </c:pt>
                <c:pt idx="17">
                  <c:v>-83430848</c:v>
                </c:pt>
                <c:pt idx="18">
                  <c:v>-89263640</c:v>
                </c:pt>
                <c:pt idx="19">
                  <c:v>-99063552</c:v>
                </c:pt>
                <c:pt idx="20">
                  <c:v>-102734008</c:v>
                </c:pt>
                <c:pt idx="21">
                  <c:v>-105225008</c:v>
                </c:pt>
                <c:pt idx="22">
                  <c:v>-106536552</c:v>
                </c:pt>
                <c:pt idx="23">
                  <c:v>-106668640</c:v>
                </c:pt>
                <c:pt idx="24">
                  <c:v>-105228120</c:v>
                </c:pt>
                <c:pt idx="25">
                  <c:v>-128731318.66666666</c:v>
                </c:pt>
                <c:pt idx="26">
                  <c:v>-135713741.33333331</c:v>
                </c:pt>
                <c:pt idx="27">
                  <c:v>-140927915.99999997</c:v>
                </c:pt>
                <c:pt idx="28">
                  <c:v>-144373842.66666663</c:v>
                </c:pt>
                <c:pt idx="29">
                  <c:v>-145855049.33333328</c:v>
                </c:pt>
                <c:pt idx="30">
                  <c:v>-145371535.99999994</c:v>
                </c:pt>
                <c:pt idx="31">
                  <c:v>-151776830.6666666</c:v>
                </c:pt>
                <c:pt idx="32">
                  <c:v>-146970933.33333325</c:v>
                </c:pt>
                <c:pt idx="33">
                  <c:v>-139807371.99999991</c:v>
                </c:pt>
                <c:pt idx="34">
                  <c:v>-130286146.66666657</c:v>
                </c:pt>
                <c:pt idx="35">
                  <c:v>-118407257.33333322</c:v>
                </c:pt>
                <c:pt idx="36">
                  <c:v>-103777759.9999999</c:v>
                </c:pt>
                <c:pt idx="37">
                  <c:v>-136785962.89999992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5-4C40-B027-3C0338D864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55362527"/>
        <c:axId val="463948847"/>
      </c:barChart>
      <c:catAx>
        <c:axId val="55536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3948847"/>
        <c:crosses val="autoZero"/>
        <c:auto val="1"/>
        <c:lblAlgn val="ctr"/>
        <c:lblOffset val="100"/>
        <c:noMultiLvlLbl val="0"/>
      </c:catAx>
      <c:valAx>
        <c:axId val="463948847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55536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400" b="0"/>
              <a:t>FLUJO DE CAJA LIBRE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EEFF!$C$30:$H$30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EEFF!$C$36:$H$36</c:f>
              <c:numCache>
                <c:formatCode>"$"\ #,##0</c:formatCode>
                <c:ptCount val="6"/>
                <c:pt idx="0">
                  <c:v>-2382000</c:v>
                </c:pt>
                <c:pt idx="1">
                  <c:v>-41036144.000000007</c:v>
                </c:pt>
                <c:pt idx="2">
                  <c:v>-69809975.999999985</c:v>
                </c:pt>
                <c:pt idx="3">
                  <c:v>12944472.233333364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3-9643-B81D-9FAA12570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4628239"/>
        <c:axId val="564629919"/>
      </c:barChart>
      <c:catAx>
        <c:axId val="5646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4629919"/>
        <c:crosses val="autoZero"/>
        <c:auto val="1"/>
        <c:lblAlgn val="ctr"/>
        <c:lblOffset val="100"/>
        <c:noMultiLvlLbl val="0"/>
      </c:catAx>
      <c:valAx>
        <c:axId val="5646299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crossAx val="56462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_xlchart.v1.0</cx:f>
      </cx:numDim>
    </cx:data>
  </cx:chartData>
  <cx:chart>
    <cx:title pos="t" align="ctr" overlay="0">
      <cx:tx>
        <cx:txData>
          <cx:v>UTILIDAD NETA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="0"/>
          </a:pPr>
          <a:r>
            <a:rPr lang="es-ES" sz="1400" b="0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UTILIDAD NETA</a:t>
          </a:r>
        </a:p>
      </cx:txPr>
    </cx:title>
    <cx:plotArea>
      <cx:plotAreaRegion>
        <cx:series layoutId="waterfall" uniqueId="{2CEA8583-FE78-A34A-B9C9-F0798145B60E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 hidden="1">
        <cx:valScaling/>
        <cx:majorGridlines/>
        <cx:tickLabels/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</cx:f>
      </cx:strDim>
      <cx:numDim type="val">
        <cx:f dir="row">_xlchart.v1.2</cx:f>
      </cx:numDim>
    </cx:data>
  </cx:chartData>
  <cx:chart>
    <cx:title pos="t" align="ctr" overlay="0">
      <cx:tx>
        <cx:txData>
          <cx:v>UTILIDAD OPERATIVA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UTILIDAD OPERATIVA</a:t>
          </a:r>
        </a:p>
      </cx:txPr>
    </cx:title>
    <cx:plotArea>
      <cx:plotAreaRegion>
        <cx:series layoutId="waterfall" uniqueId="{1BA9548F-41DA-DF4E-A634-E98DC85BAB82}"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 hidden="1">
        <cx:valScaling/>
        <cx:majorGridlines/>
        <cx:tickLabels/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2701546</xdr:colOff>
      <xdr:row>4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466A4C-2FEE-4EA4-ABE4-10453DFDB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2701546</xdr:colOff>
      <xdr:row>4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B077D4-F698-4270-B722-B69BABADF4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2701546</xdr:colOff>
      <xdr:row>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832738-DF94-41D4-B737-7DCD399C1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2702604</xdr:colOff>
      <xdr:row>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FB6C93-755C-4FF6-9908-60866C59D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2701546</xdr:colOff>
      <xdr:row>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FDE375-D74C-4FFC-90A0-BF368EE39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69850</xdr:rowOff>
    </xdr:from>
    <xdr:to>
      <xdr:col>1</xdr:col>
      <xdr:colOff>1260725</xdr:colOff>
      <xdr:row>96</xdr:row>
      <xdr:rowOff>50800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E5468B-8E70-B1BC-0804-0D1FF3D5E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94650"/>
          <a:ext cx="5350125" cy="5670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2701546</xdr:colOff>
      <xdr:row>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20C805-4012-4734-9197-4C06DC87EA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948946</xdr:colOff>
      <xdr:row>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9BBA3B-A25D-45CA-978D-2980A80EA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68911</xdr:colOff>
      <xdr:row>4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D862E0-3771-4A4D-9411-B20F8CE49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25400</xdr:rowOff>
    </xdr:from>
    <xdr:to>
      <xdr:col>12</xdr:col>
      <xdr:colOff>26811</xdr:colOff>
      <xdr:row>35</xdr:row>
      <xdr:rowOff>98777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249F9D-D223-8E44-BE3E-C77B2897B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139700</xdr:rowOff>
    </xdr:from>
    <xdr:to>
      <xdr:col>12</xdr:col>
      <xdr:colOff>25400</xdr:colOff>
      <xdr:row>55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B6070D-9AEE-084A-B43D-A590234FD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76200</xdr:rowOff>
    </xdr:from>
    <xdr:to>
      <xdr:col>4</xdr:col>
      <xdr:colOff>977900</xdr:colOff>
      <xdr:row>70</xdr:row>
      <xdr:rowOff>50800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6DDE85-A598-A342-ADFF-896125915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1015869</xdr:colOff>
      <xdr:row>55</xdr:row>
      <xdr:rowOff>45301</xdr:rowOff>
    </xdr:from>
    <xdr:to>
      <xdr:col>12</xdr:col>
      <xdr:colOff>37969</xdr:colOff>
      <xdr:row>70</xdr:row>
      <xdr:rowOff>96101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931126E-263C-BB40-9EC2-AA7E4737B9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6609" y="11658181"/>
              <a:ext cx="7937500" cy="302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70</xdr:row>
      <xdr:rowOff>188930</xdr:rowOff>
    </xdr:from>
    <xdr:to>
      <xdr:col>4</xdr:col>
      <xdr:colOff>952500</xdr:colOff>
      <xdr:row>85</xdr:row>
      <xdr:rowOff>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34E3C343-D828-A54E-96ED-ABA9104AD6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773610"/>
              <a:ext cx="6873240" cy="2783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1063246</xdr:colOff>
      <xdr:row>0</xdr:row>
      <xdr:rowOff>809625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1343000-D9AD-4C2B-97EB-889E51E678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9" t="14810" r="12009" b="32257"/>
        <a:stretch/>
      </xdr:blipFill>
      <xdr:spPr>
        <a:xfrm>
          <a:off x="0" y="0"/>
          <a:ext cx="2701546" cy="809625"/>
        </a:xfrm>
        <a:prstGeom prst="rect">
          <a:avLst/>
        </a:prstGeom>
      </xdr:spPr>
    </xdr:pic>
    <xdr:clientData/>
  </xdr:twoCellAnchor>
  <xdr:twoCellAnchor>
    <xdr:from>
      <xdr:col>2</xdr:col>
      <xdr:colOff>76201</xdr:colOff>
      <xdr:row>6</xdr:row>
      <xdr:rowOff>194733</xdr:rowOff>
    </xdr:from>
    <xdr:to>
      <xdr:col>2</xdr:col>
      <xdr:colOff>618068</xdr:colOff>
      <xdr:row>7</xdr:row>
      <xdr:rowOff>135465</xdr:rowOff>
    </xdr:to>
    <xdr:cxnSp macro="">
      <xdr:nvCxnSpPr>
        <xdr:cNvPr id="12" name="Conector curvado 11">
          <a:extLst>
            <a:ext uri="{FF2B5EF4-FFF2-40B4-BE49-F238E27FC236}">
              <a16:creationId xmlns:a16="http://schemas.microsoft.com/office/drawing/2014/main" id="{BA280A36-0122-5EEA-895D-2277C5F96006}"/>
            </a:ext>
          </a:extLst>
        </xdr:cNvPr>
        <xdr:cNvCxnSpPr/>
      </xdr:nvCxnSpPr>
      <xdr:spPr>
        <a:xfrm rot="10800000" flipV="1">
          <a:off x="3191934" y="2937933"/>
          <a:ext cx="541867" cy="143932"/>
        </a:xfrm>
        <a:prstGeom prst="curvedConnector3">
          <a:avLst>
            <a:gd name="adj1" fmla="val -1562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711202</xdr:colOff>
      <xdr:row>7</xdr:row>
      <xdr:rowOff>25400</xdr:rowOff>
    </xdr:from>
    <xdr:to>
      <xdr:col>4</xdr:col>
      <xdr:colOff>364068</xdr:colOff>
      <xdr:row>11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B2BC425-9AFB-A5B0-6652-973299F2FDC2}"/>
            </a:ext>
          </a:extLst>
        </xdr:cNvPr>
        <xdr:cNvSpPr txBox="1"/>
      </xdr:nvSpPr>
      <xdr:spPr>
        <a:xfrm>
          <a:off x="3826935" y="2971800"/>
          <a:ext cx="2446866" cy="931333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/>
            <a:t>No olviden que las celdas</a:t>
          </a:r>
          <a:r>
            <a:rPr lang="es-ES_tradnl" sz="1100" baseline="0"/>
            <a:t> grises estan identificadas así, para que ustedes puedan modificar la información acorde a las necesidades de su proyecto.</a:t>
          </a:r>
          <a:endParaRPr lang="es-ES_tradnl" sz="1100"/>
        </a:p>
      </xdr:txBody>
    </xdr:sp>
    <xdr:clientData/>
  </xdr:twoCellAnchor>
  <xdr:twoCellAnchor>
    <xdr:from>
      <xdr:col>2</xdr:col>
      <xdr:colOff>64393</xdr:colOff>
      <xdr:row>8</xdr:row>
      <xdr:rowOff>101287</xdr:rowOff>
    </xdr:from>
    <xdr:to>
      <xdr:col>2</xdr:col>
      <xdr:colOff>632067</xdr:colOff>
      <xdr:row>9</xdr:row>
      <xdr:rowOff>71526</xdr:rowOff>
    </xdr:to>
    <xdr:sp macro="" textlink="">
      <xdr:nvSpPr>
        <xdr:cNvPr id="16" name="Flecha derecha 15">
          <a:extLst>
            <a:ext uri="{FF2B5EF4-FFF2-40B4-BE49-F238E27FC236}">
              <a16:creationId xmlns:a16="http://schemas.microsoft.com/office/drawing/2014/main" id="{BFBAA3C4-1023-6F0C-65C7-5859D7925864}"/>
            </a:ext>
          </a:extLst>
        </xdr:cNvPr>
        <xdr:cNvSpPr/>
      </xdr:nvSpPr>
      <xdr:spPr>
        <a:xfrm rot="11113296">
          <a:off x="3180126" y="3250887"/>
          <a:ext cx="567674" cy="17343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5:G81"/>
  <sheetViews>
    <sheetView showGridLines="0" topLeftCell="A62" zoomScaleNormal="100" workbookViewId="0">
      <selection activeCell="A58" sqref="A58:B63"/>
    </sheetView>
  </sheetViews>
  <sheetFormatPr baseColWidth="10" defaultColWidth="11" defaultRowHeight="15.6" x14ac:dyDescent="0.3"/>
  <cols>
    <col min="1" max="1" width="50.3984375" customWidth="1"/>
    <col min="2" max="6" width="18.3984375" customWidth="1"/>
  </cols>
  <sheetData>
    <row r="5" spans="1:7" x14ac:dyDescent="0.3">
      <c r="A5" s="3"/>
    </row>
    <row r="7" spans="1:7" x14ac:dyDescent="0.3">
      <c r="A7" s="1"/>
      <c r="B7" s="1"/>
      <c r="C7" s="1"/>
      <c r="D7" s="1"/>
      <c r="E7" s="1"/>
      <c r="F7" s="1"/>
      <c r="G7" s="1"/>
    </row>
    <row r="9" spans="1:7" x14ac:dyDescent="0.3">
      <c r="A9" s="3" t="s">
        <v>0</v>
      </c>
    </row>
    <row r="10" spans="1:7" x14ac:dyDescent="0.3">
      <c r="A10" s="2" t="s">
        <v>1</v>
      </c>
      <c r="B10" s="125" t="s">
        <v>2</v>
      </c>
      <c r="C10" s="126"/>
    </row>
    <row r="11" spans="1:7" x14ac:dyDescent="0.3">
      <c r="A11" s="2" t="s">
        <v>3</v>
      </c>
      <c r="B11" s="125" t="s">
        <v>4</v>
      </c>
      <c r="C11" s="126"/>
    </row>
    <row r="12" spans="1:7" x14ac:dyDescent="0.3">
      <c r="A12" s="2" t="s">
        <v>5</v>
      </c>
      <c r="B12" s="126">
        <v>2027</v>
      </c>
      <c r="C12" s="126"/>
    </row>
    <row r="13" spans="1:7" x14ac:dyDescent="0.3">
      <c r="A13" s="2" t="s">
        <v>6</v>
      </c>
      <c r="B13" s="125" t="s">
        <v>7</v>
      </c>
      <c r="C13" s="126"/>
    </row>
    <row r="14" spans="1:7" x14ac:dyDescent="0.3">
      <c r="A14" s="2" t="s">
        <v>8</v>
      </c>
      <c r="B14" s="125" t="s">
        <v>9</v>
      </c>
      <c r="C14" s="126"/>
    </row>
    <row r="15" spans="1:7" x14ac:dyDescent="0.3">
      <c r="B15" s="130"/>
      <c r="C15" s="130"/>
    </row>
    <row r="17" spans="1:6" s="3" customFormat="1" x14ac:dyDescent="0.3">
      <c r="A17" s="3" t="s">
        <v>10</v>
      </c>
    </row>
    <row r="18" spans="1:6" s="3" customFormat="1" x14ac:dyDescent="0.3">
      <c r="A18" s="4" t="s">
        <v>11</v>
      </c>
      <c r="B18" s="4" t="s">
        <v>12</v>
      </c>
      <c r="C18" s="4" t="s">
        <v>13</v>
      </c>
    </row>
    <row r="19" spans="1:6" x14ac:dyDescent="0.3">
      <c r="A19" s="15" t="s">
        <v>14</v>
      </c>
      <c r="B19" s="16" t="s">
        <v>15</v>
      </c>
      <c r="C19" s="17">
        <v>0.25</v>
      </c>
    </row>
    <row r="20" spans="1:6" x14ac:dyDescent="0.3">
      <c r="A20" s="18" t="s">
        <v>16</v>
      </c>
      <c r="B20" s="16" t="s">
        <v>15</v>
      </c>
      <c r="C20" s="17">
        <v>0.25</v>
      </c>
    </row>
    <row r="21" spans="1:6" x14ac:dyDescent="0.3">
      <c r="A21" s="18" t="s">
        <v>17</v>
      </c>
      <c r="B21" s="16" t="s">
        <v>15</v>
      </c>
      <c r="C21" s="17">
        <v>0.25</v>
      </c>
    </row>
    <row r="22" spans="1:6" x14ac:dyDescent="0.3">
      <c r="A22" s="18" t="s">
        <v>18</v>
      </c>
      <c r="B22" s="16" t="s">
        <v>15</v>
      </c>
      <c r="C22" s="17">
        <v>0.25</v>
      </c>
    </row>
    <row r="23" spans="1:6" x14ac:dyDescent="0.3">
      <c r="A23" s="18" t="s">
        <v>19</v>
      </c>
      <c r="B23" s="19"/>
      <c r="C23" s="17"/>
    </row>
    <row r="24" spans="1:6" x14ac:dyDescent="0.3">
      <c r="A24" s="18" t="s">
        <v>20</v>
      </c>
      <c r="B24" s="19"/>
      <c r="C24" s="17"/>
    </row>
    <row r="26" spans="1:6" s="3" customFormat="1" x14ac:dyDescent="0.3">
      <c r="A26" s="3" t="s">
        <v>21</v>
      </c>
    </row>
    <row r="27" spans="1:6" x14ac:dyDescent="0.3">
      <c r="A27" s="103" t="s">
        <v>22</v>
      </c>
      <c r="B27" s="103" t="s">
        <v>23</v>
      </c>
      <c r="C27" s="103"/>
      <c r="D27" s="103"/>
      <c r="E27" s="103"/>
      <c r="F27" s="103"/>
    </row>
    <row r="28" spans="1:6" x14ac:dyDescent="0.3">
      <c r="A28" s="103"/>
      <c r="B28" s="4">
        <f>B12</f>
        <v>2027</v>
      </c>
      <c r="C28" s="4">
        <f>B28+1</f>
        <v>2028</v>
      </c>
      <c r="D28" s="4">
        <f t="shared" ref="D28:F28" si="0">C28+1</f>
        <v>2029</v>
      </c>
      <c r="E28" s="4">
        <f t="shared" si="0"/>
        <v>2030</v>
      </c>
      <c r="F28" s="4">
        <f t="shared" si="0"/>
        <v>2031</v>
      </c>
    </row>
    <row r="29" spans="1:6" x14ac:dyDescent="0.3">
      <c r="A29" s="2" t="s">
        <v>24</v>
      </c>
      <c r="B29" s="20">
        <v>4150</v>
      </c>
      <c r="C29" s="20">
        <v>4280</v>
      </c>
      <c r="D29" s="20">
        <v>4410</v>
      </c>
      <c r="E29" s="20">
        <v>4410</v>
      </c>
      <c r="F29" s="20">
        <v>4410</v>
      </c>
    </row>
    <row r="30" spans="1:6" x14ac:dyDescent="0.3">
      <c r="A30" s="2" t="s">
        <v>25</v>
      </c>
      <c r="B30" s="21">
        <v>0.05</v>
      </c>
      <c r="C30" s="21">
        <v>4.2000000000000003E-2</v>
      </c>
      <c r="D30" s="21">
        <v>3.7999999999999999E-2</v>
      </c>
      <c r="E30" s="21">
        <v>3.5000000000000003E-2</v>
      </c>
      <c r="F30" s="21">
        <v>3.3000000000000002E-2</v>
      </c>
    </row>
    <row r="31" spans="1:6" x14ac:dyDescent="0.3">
      <c r="A31" s="2" t="s">
        <v>26</v>
      </c>
      <c r="B31" s="21">
        <f>(12%*50%)+(4%*50%)</f>
        <v>0.08</v>
      </c>
      <c r="C31" s="21">
        <f t="shared" ref="C31:F31" si="1">(12%*50%)+(4%*50%)</f>
        <v>0.08</v>
      </c>
      <c r="D31" s="21">
        <f t="shared" si="1"/>
        <v>0.08</v>
      </c>
      <c r="E31" s="21">
        <f t="shared" si="1"/>
        <v>0.08</v>
      </c>
      <c r="F31" s="21">
        <f t="shared" si="1"/>
        <v>0.08</v>
      </c>
    </row>
    <row r="32" spans="1:6" x14ac:dyDescent="0.3">
      <c r="A32" s="2" t="s">
        <v>27</v>
      </c>
      <c r="B32" s="20">
        <v>1856000</v>
      </c>
      <c r="C32" s="20">
        <v>1949000</v>
      </c>
      <c r="D32" s="20">
        <v>2036000</v>
      </c>
      <c r="E32" s="20">
        <v>2118000</v>
      </c>
      <c r="F32" s="20">
        <v>2203000</v>
      </c>
    </row>
    <row r="33" spans="1:7" x14ac:dyDescent="0.3">
      <c r="A33" s="2" t="s">
        <v>28</v>
      </c>
      <c r="B33" s="20">
        <v>268000</v>
      </c>
      <c r="C33" s="20">
        <v>282000</v>
      </c>
      <c r="D33" s="20">
        <v>294000</v>
      </c>
      <c r="E33" s="20">
        <v>306000</v>
      </c>
      <c r="F33" s="20">
        <v>318000</v>
      </c>
    </row>
    <row r="34" spans="1:7" x14ac:dyDescent="0.3">
      <c r="A34" s="2" t="s">
        <v>29</v>
      </c>
      <c r="B34" s="34">
        <v>0.35</v>
      </c>
      <c r="C34" s="34">
        <v>0.35</v>
      </c>
      <c r="D34" s="34">
        <v>0.35</v>
      </c>
      <c r="E34" s="34">
        <v>0.35</v>
      </c>
      <c r="F34" s="34">
        <v>0.35</v>
      </c>
    </row>
    <row r="35" spans="1:7" x14ac:dyDescent="0.3">
      <c r="B35" s="6"/>
    </row>
    <row r="36" spans="1:7" s="3" customFormat="1" x14ac:dyDescent="0.3">
      <c r="B36" s="55"/>
      <c r="C36" s="55"/>
      <c r="D36" s="55"/>
      <c r="E36" s="55"/>
      <c r="F36" s="55"/>
    </row>
    <row r="37" spans="1:7" x14ac:dyDescent="0.3">
      <c r="A37" s="1"/>
      <c r="B37" s="1"/>
      <c r="C37" s="1"/>
      <c r="D37" s="1"/>
      <c r="E37" s="1"/>
      <c r="F37" s="1"/>
      <c r="G37" s="1"/>
    </row>
    <row r="39" spans="1:7" x14ac:dyDescent="0.3">
      <c r="A39" s="5" t="s">
        <v>30</v>
      </c>
      <c r="B39" s="131" t="s">
        <v>31</v>
      </c>
      <c r="C39" s="132"/>
      <c r="D39" s="132"/>
    </row>
    <row r="40" spans="1:7" x14ac:dyDescent="0.3">
      <c r="A40" s="2" t="s">
        <v>32</v>
      </c>
      <c r="B40" s="125" t="s">
        <v>33</v>
      </c>
      <c r="C40" s="126"/>
      <c r="D40" s="126"/>
    </row>
    <row r="41" spans="1:7" x14ac:dyDescent="0.3">
      <c r="A41" s="2" t="s">
        <v>34</v>
      </c>
      <c r="B41" s="125" t="s">
        <v>35</v>
      </c>
      <c r="C41" s="126"/>
      <c r="D41" s="126"/>
    </row>
    <row r="42" spans="1:7" x14ac:dyDescent="0.3">
      <c r="A42" s="2" t="s">
        <v>36</v>
      </c>
      <c r="B42" s="125"/>
      <c r="C42" s="126"/>
      <c r="D42" s="126"/>
    </row>
    <row r="43" spans="1:7" x14ac:dyDescent="0.3">
      <c r="A43" s="2" t="s">
        <v>37</v>
      </c>
      <c r="B43" s="125"/>
      <c r="C43" s="126"/>
      <c r="D43" s="126"/>
    </row>
    <row r="44" spans="1:7" x14ac:dyDescent="0.3">
      <c r="A44" s="2" t="s">
        <v>38</v>
      </c>
      <c r="B44" s="125"/>
      <c r="C44" s="126"/>
      <c r="D44" s="126"/>
    </row>
    <row r="45" spans="1:7" x14ac:dyDescent="0.3">
      <c r="A45" s="2" t="s">
        <v>39</v>
      </c>
      <c r="B45" s="125"/>
      <c r="C45" s="126"/>
      <c r="D45" s="126"/>
    </row>
    <row r="46" spans="1:7" x14ac:dyDescent="0.3">
      <c r="A46" s="2" t="s">
        <v>40</v>
      </c>
      <c r="B46" s="125"/>
      <c r="C46" s="126"/>
      <c r="D46" s="126"/>
    </row>
    <row r="47" spans="1:7" x14ac:dyDescent="0.3">
      <c r="A47" s="2" t="s">
        <v>41</v>
      </c>
      <c r="B47" s="125"/>
      <c r="C47" s="126"/>
      <c r="D47" s="126"/>
    </row>
    <row r="48" spans="1:7" x14ac:dyDescent="0.3">
      <c r="A48" s="2" t="s">
        <v>42</v>
      </c>
      <c r="B48" s="125"/>
      <c r="C48" s="126"/>
      <c r="D48" s="126"/>
    </row>
    <row r="49" spans="1:7" x14ac:dyDescent="0.3">
      <c r="A49" s="2" t="s">
        <v>43</v>
      </c>
      <c r="B49" s="125"/>
      <c r="C49" s="126"/>
      <c r="D49" s="126"/>
    </row>
    <row r="50" spans="1:7" x14ac:dyDescent="0.3">
      <c r="A50" s="2" t="s">
        <v>44</v>
      </c>
      <c r="B50" s="125"/>
      <c r="C50" s="126"/>
      <c r="D50" s="126"/>
    </row>
    <row r="51" spans="1:7" x14ac:dyDescent="0.3">
      <c r="A51" s="2" t="s">
        <v>45</v>
      </c>
      <c r="B51" s="125"/>
      <c r="C51" s="126"/>
      <c r="D51" s="126"/>
    </row>
    <row r="52" spans="1:7" x14ac:dyDescent="0.3">
      <c r="A52" s="2" t="s">
        <v>46</v>
      </c>
      <c r="B52" s="125"/>
      <c r="C52" s="126"/>
      <c r="D52" s="126"/>
    </row>
    <row r="53" spans="1:7" x14ac:dyDescent="0.3">
      <c r="A53" s="2" t="s">
        <v>47</v>
      </c>
      <c r="B53" s="125"/>
      <c r="C53" s="126"/>
      <c r="D53" s="126"/>
    </row>
    <row r="54" spans="1:7" x14ac:dyDescent="0.3">
      <c r="A54" s="2" t="s">
        <v>48</v>
      </c>
      <c r="B54" s="125"/>
      <c r="C54" s="126"/>
      <c r="D54" s="126"/>
    </row>
    <row r="56" spans="1:7" x14ac:dyDescent="0.3">
      <c r="A56" s="103" t="s">
        <v>49</v>
      </c>
      <c r="B56" s="127" t="s">
        <v>23</v>
      </c>
      <c r="C56" s="128"/>
      <c r="D56" s="128"/>
      <c r="E56" s="128"/>
      <c r="F56" s="128"/>
      <c r="G56" s="129"/>
    </row>
    <row r="57" spans="1:7" x14ac:dyDescent="0.3">
      <c r="A57" s="103"/>
      <c r="B57" s="4">
        <f>Año1-1</f>
        <v>2026</v>
      </c>
      <c r="C57" s="4">
        <f>Año1</f>
        <v>2027</v>
      </c>
      <c r="D57" s="4">
        <f>C57+1</f>
        <v>2028</v>
      </c>
      <c r="E57" s="4">
        <f t="shared" ref="E57:G57" si="2">D57+1</f>
        <v>2029</v>
      </c>
      <c r="F57" s="4">
        <f t="shared" si="2"/>
        <v>2030</v>
      </c>
      <c r="G57" s="4">
        <f t="shared" si="2"/>
        <v>2031</v>
      </c>
    </row>
    <row r="58" spans="1:7" x14ac:dyDescent="0.3">
      <c r="A58" s="160" t="s">
        <v>50</v>
      </c>
      <c r="B58" s="160">
        <v>232000</v>
      </c>
      <c r="C58" s="20"/>
      <c r="D58" s="20"/>
      <c r="E58" s="20"/>
      <c r="F58" s="20"/>
      <c r="G58" s="20"/>
    </row>
    <row r="59" spans="1:7" x14ac:dyDescent="0.3">
      <c r="A59" s="160" t="s">
        <v>297</v>
      </c>
      <c r="B59" s="160">
        <v>500000</v>
      </c>
      <c r="C59" s="20"/>
      <c r="D59" s="20"/>
      <c r="E59" s="20"/>
      <c r="F59" s="20"/>
      <c r="G59" s="20"/>
    </row>
    <row r="60" spans="1:7" x14ac:dyDescent="0.3">
      <c r="A60" s="160" t="s">
        <v>298</v>
      </c>
      <c r="B60" s="160">
        <v>350000</v>
      </c>
      <c r="C60" s="20"/>
      <c r="D60" s="20"/>
      <c r="E60" s="20"/>
      <c r="F60" s="20"/>
      <c r="G60" s="20"/>
    </row>
    <row r="61" spans="1:7" x14ac:dyDescent="0.3">
      <c r="A61" s="160" t="s">
        <v>299</v>
      </c>
      <c r="B61" s="160">
        <v>800000</v>
      </c>
      <c r="C61" s="20"/>
      <c r="D61" s="20"/>
      <c r="E61" s="20"/>
      <c r="F61" s="20"/>
      <c r="G61" s="20"/>
    </row>
    <row r="62" spans="1:7" x14ac:dyDescent="0.3">
      <c r="A62" s="160" t="s">
        <v>300</v>
      </c>
      <c r="B62" s="160">
        <v>200000</v>
      </c>
      <c r="C62" s="20"/>
      <c r="D62" s="20"/>
      <c r="E62" s="20"/>
      <c r="F62" s="20"/>
      <c r="G62" s="20"/>
    </row>
    <row r="63" spans="1:7" x14ac:dyDescent="0.3">
      <c r="A63" s="160" t="s">
        <v>301</v>
      </c>
      <c r="B63" s="160">
        <v>300000</v>
      </c>
      <c r="C63" s="20"/>
      <c r="D63" s="20"/>
      <c r="E63" s="20"/>
      <c r="F63" s="20"/>
      <c r="G63" s="20"/>
    </row>
    <row r="64" spans="1:7" x14ac:dyDescent="0.3">
      <c r="A64" s="23"/>
      <c r="B64" s="20"/>
      <c r="C64" s="20"/>
      <c r="D64" s="20"/>
      <c r="E64" s="20"/>
      <c r="F64" s="20"/>
      <c r="G64" s="20"/>
    </row>
    <row r="65" spans="1:7" x14ac:dyDescent="0.3">
      <c r="A65" s="8" t="s">
        <v>51</v>
      </c>
      <c r="B65" s="9">
        <f>SUM(B58:B64)</f>
        <v>2382000</v>
      </c>
      <c r="C65" s="9">
        <f t="shared" ref="C65:G65" si="3">SUM(C58:C64)</f>
        <v>0</v>
      </c>
      <c r="D65" s="9">
        <f t="shared" si="3"/>
        <v>0</v>
      </c>
      <c r="E65" s="9">
        <f t="shared" si="3"/>
        <v>0</v>
      </c>
      <c r="F65" s="9">
        <f t="shared" si="3"/>
        <v>0</v>
      </c>
      <c r="G65" s="9">
        <f t="shared" si="3"/>
        <v>0</v>
      </c>
    </row>
    <row r="67" spans="1:7" x14ac:dyDescent="0.3">
      <c r="A67" s="56" t="s">
        <v>52</v>
      </c>
      <c r="B67" s="57"/>
    </row>
    <row r="68" spans="1:7" x14ac:dyDescent="0.3">
      <c r="A68" s="58" t="s">
        <v>53</v>
      </c>
      <c r="B68" s="59" t="s">
        <v>54</v>
      </c>
    </row>
    <row r="69" spans="1:7" x14ac:dyDescent="0.3">
      <c r="A69" s="58" t="s">
        <v>55</v>
      </c>
      <c r="B69" s="60">
        <v>5.2199999999999998E-3</v>
      </c>
    </row>
    <row r="70" spans="1:7" x14ac:dyDescent="0.3">
      <c r="A70" s="58" t="s">
        <v>56</v>
      </c>
      <c r="B70" s="60">
        <v>1.044E-2</v>
      </c>
    </row>
    <row r="71" spans="1:7" x14ac:dyDescent="0.3">
      <c r="A71" s="58" t="s">
        <v>57</v>
      </c>
      <c r="B71" s="60">
        <v>2.436E-2</v>
      </c>
    </row>
    <row r="72" spans="1:7" x14ac:dyDescent="0.3">
      <c r="A72" s="58" t="s">
        <v>58</v>
      </c>
      <c r="B72" s="60">
        <v>4.3499999999999997E-2</v>
      </c>
    </row>
    <row r="73" spans="1:7" x14ac:dyDescent="0.3">
      <c r="A73" s="58" t="s">
        <v>59</v>
      </c>
      <c r="B73" s="60">
        <v>6.9599999999999995E-2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69" t="s">
        <v>60</v>
      </c>
    </row>
    <row r="78" spans="1:7" x14ac:dyDescent="0.3">
      <c r="A78" s="69" t="s">
        <v>61</v>
      </c>
    </row>
    <row r="79" spans="1:7" x14ac:dyDescent="0.3">
      <c r="A79" s="69" t="s">
        <v>62</v>
      </c>
    </row>
    <row r="80" spans="1:7" x14ac:dyDescent="0.3">
      <c r="A80" s="69" t="s">
        <v>63</v>
      </c>
    </row>
    <row r="81" spans="1:7" ht="35.1" customHeight="1" x14ac:dyDescent="0.3">
      <c r="A81" s="124" t="s">
        <v>64</v>
      </c>
      <c r="B81" s="124"/>
      <c r="C81" s="124"/>
      <c r="D81" s="124"/>
      <c r="E81" s="124"/>
      <c r="F81" s="124"/>
      <c r="G81" s="124"/>
    </row>
  </sheetData>
  <sheetProtection formatColumns="0"/>
  <mergeCells count="27">
    <mergeCell ref="A27:A28"/>
    <mergeCell ref="B39:D39"/>
    <mergeCell ref="B27:F27"/>
    <mergeCell ref="B54:D54"/>
    <mergeCell ref="B40:D40"/>
    <mergeCell ref="B41:D41"/>
    <mergeCell ref="B42:D42"/>
    <mergeCell ref="B43:D43"/>
    <mergeCell ref="B10:C10"/>
    <mergeCell ref="B11:C11"/>
    <mergeCell ref="B12:C12"/>
    <mergeCell ref="B13:C13"/>
    <mergeCell ref="B15:C15"/>
    <mergeCell ref="B14:C14"/>
    <mergeCell ref="A81:G81"/>
    <mergeCell ref="B44:D44"/>
    <mergeCell ref="B45:D45"/>
    <mergeCell ref="B51:D51"/>
    <mergeCell ref="B52:D52"/>
    <mergeCell ref="B53:D53"/>
    <mergeCell ref="B46:D46"/>
    <mergeCell ref="B47:D47"/>
    <mergeCell ref="B48:D48"/>
    <mergeCell ref="B49:D49"/>
    <mergeCell ref="B50:D50"/>
    <mergeCell ref="A56:A57"/>
    <mergeCell ref="B56:G56"/>
  </mergeCells>
  <pageMargins left="0.70866141732283472" right="0.70866141732283472" top="0.74803149606299213" bottom="0.74803149606299213" header="0.31496062992125984" footer="0.31496062992125984"/>
  <pageSetup orientation="portrait" horizontalDpi="0" verticalDpi="0"/>
  <headerFooter>
    <oddHeader>&amp;L&amp;"Helvetica,Normal"&amp;K000000Elaborado por: María Teresa Macías Joven&amp;R&amp;"Helvetica,Normal"&amp;K0000002018</oddHead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I37"/>
  <sheetViews>
    <sheetView showGridLines="0" zoomScaleNormal="100" workbookViewId="0">
      <selection activeCell="B15" sqref="B15:AX16"/>
    </sheetView>
  </sheetViews>
  <sheetFormatPr baseColWidth="10" defaultColWidth="11" defaultRowHeight="15.6" x14ac:dyDescent="0.3"/>
  <cols>
    <col min="1" max="1" width="60.3984375" customWidth="1"/>
    <col min="2" max="61" width="21.5" customWidth="1"/>
  </cols>
  <sheetData>
    <row r="1" spans="1:61" x14ac:dyDescent="0.3">
      <c r="B1" s="133" t="str">
        <f>CONCATENATE(INICIO!$B$10," ",INICIO!$B$11)</f>
        <v>TIZA S.A.S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pans="1:61" x14ac:dyDescent="0.3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spans="1:61" x14ac:dyDescent="0.3"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1:61" x14ac:dyDescent="0.3"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</row>
    <row r="5" spans="1:61" x14ac:dyDescent="0.3">
      <c r="B5" s="134" t="s">
        <v>65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</row>
    <row r="7" spans="1:61" x14ac:dyDescent="0.3">
      <c r="A7" s="3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</row>
    <row r="8" spans="1:61" s="3" customFormat="1" x14ac:dyDescent="0.3"/>
    <row r="9" spans="1:61" x14ac:dyDescent="0.3">
      <c r="A9" s="120" t="s">
        <v>66</v>
      </c>
      <c r="B9" s="103">
        <f>Año1</f>
        <v>2027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>
        <f>Año2</f>
        <v>2028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>
        <f>Año3</f>
        <v>2029</v>
      </c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>
        <f>Año4</f>
        <v>2030</v>
      </c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>
        <f>Año5</f>
        <v>2031</v>
      </c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</row>
    <row r="10" spans="1:61" x14ac:dyDescent="0.3">
      <c r="A10" s="120"/>
      <c r="B10" s="54" t="s">
        <v>67</v>
      </c>
      <c r="C10" s="54" t="s">
        <v>68</v>
      </c>
      <c r="D10" s="54" t="s">
        <v>69</v>
      </c>
      <c r="E10" s="54" t="s">
        <v>70</v>
      </c>
      <c r="F10" s="54" t="s">
        <v>71</v>
      </c>
      <c r="G10" s="54" t="s">
        <v>72</v>
      </c>
      <c r="H10" s="54" t="s">
        <v>73</v>
      </c>
      <c r="I10" s="54" t="s">
        <v>74</v>
      </c>
      <c r="J10" s="54" t="s">
        <v>75</v>
      </c>
      <c r="K10" s="54" t="s">
        <v>76</v>
      </c>
      <c r="L10" s="54" t="s">
        <v>77</v>
      </c>
      <c r="M10" s="54" t="s">
        <v>78</v>
      </c>
      <c r="N10" s="54" t="s">
        <v>79</v>
      </c>
      <c r="O10" s="54" t="s">
        <v>80</v>
      </c>
      <c r="P10" s="54" t="s">
        <v>81</v>
      </c>
      <c r="Q10" s="54" t="s">
        <v>82</v>
      </c>
      <c r="R10" s="54" t="s">
        <v>83</v>
      </c>
      <c r="S10" s="54" t="s">
        <v>84</v>
      </c>
      <c r="T10" s="54" t="s">
        <v>85</v>
      </c>
      <c r="U10" s="54" t="s">
        <v>86</v>
      </c>
      <c r="V10" s="54" t="s">
        <v>87</v>
      </c>
      <c r="W10" s="54" t="s">
        <v>88</v>
      </c>
      <c r="X10" s="54" t="s">
        <v>89</v>
      </c>
      <c r="Y10" s="54" t="s">
        <v>90</v>
      </c>
      <c r="Z10" s="54" t="s">
        <v>91</v>
      </c>
      <c r="AA10" s="54" t="s">
        <v>92</v>
      </c>
      <c r="AB10" s="54" t="s">
        <v>93</v>
      </c>
      <c r="AC10" s="54" t="s">
        <v>94</v>
      </c>
      <c r="AD10" s="54" t="s">
        <v>95</v>
      </c>
      <c r="AE10" s="54" t="s">
        <v>96</v>
      </c>
      <c r="AF10" s="54" t="s">
        <v>97</v>
      </c>
      <c r="AG10" s="54" t="s">
        <v>98</v>
      </c>
      <c r="AH10" s="54" t="s">
        <v>99</v>
      </c>
      <c r="AI10" s="54" t="s">
        <v>100</v>
      </c>
      <c r="AJ10" s="54" t="s">
        <v>101</v>
      </c>
      <c r="AK10" s="54" t="s">
        <v>102</v>
      </c>
      <c r="AL10" s="54" t="s">
        <v>103</v>
      </c>
      <c r="AM10" s="54" t="s">
        <v>104</v>
      </c>
      <c r="AN10" s="54" t="s">
        <v>105</v>
      </c>
      <c r="AO10" s="54" t="s">
        <v>106</v>
      </c>
      <c r="AP10" s="54" t="s">
        <v>107</v>
      </c>
      <c r="AQ10" s="54" t="s">
        <v>108</v>
      </c>
      <c r="AR10" s="54" t="s">
        <v>109</v>
      </c>
      <c r="AS10" s="54" t="s">
        <v>110</v>
      </c>
      <c r="AT10" s="54" t="s">
        <v>111</v>
      </c>
      <c r="AU10" s="54" t="s">
        <v>112</v>
      </c>
      <c r="AV10" s="54" t="s">
        <v>113</v>
      </c>
      <c r="AW10" s="54" t="s">
        <v>114</v>
      </c>
      <c r="AX10" s="54" t="s">
        <v>115</v>
      </c>
      <c r="AY10" s="54" t="s">
        <v>116</v>
      </c>
      <c r="AZ10" s="54" t="s">
        <v>117</v>
      </c>
      <c r="BA10" s="54" t="s">
        <v>118</v>
      </c>
      <c r="BB10" s="54" t="s">
        <v>119</v>
      </c>
      <c r="BC10" s="54" t="s">
        <v>120</v>
      </c>
      <c r="BD10" s="54" t="s">
        <v>121</v>
      </c>
      <c r="BE10" s="54" t="s">
        <v>122</v>
      </c>
      <c r="BF10" s="54" t="s">
        <v>123</v>
      </c>
      <c r="BG10" s="54" t="s">
        <v>124</v>
      </c>
      <c r="BH10" s="54" t="s">
        <v>125</v>
      </c>
      <c r="BI10" s="54" t="s">
        <v>126</v>
      </c>
    </row>
    <row r="11" spans="1:61" x14ac:dyDescent="0.3">
      <c r="A11" s="2" t="s">
        <v>127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0</v>
      </c>
      <c r="BB11" s="27">
        <v>0</v>
      </c>
      <c r="BC11" s="27">
        <v>0</v>
      </c>
      <c r="BD11" s="27">
        <v>0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</row>
    <row r="13" spans="1:61" x14ac:dyDescent="0.3">
      <c r="A13" s="123" t="s">
        <v>128</v>
      </c>
      <c r="B13" s="103">
        <f>Año1</f>
        <v>2027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>
        <f>Año2</f>
        <v>2028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>
        <f>Año3</f>
        <v>2029</v>
      </c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>
        <f>Año4</f>
        <v>2030</v>
      </c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>
        <f>Año5</f>
        <v>2031</v>
      </c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</row>
    <row r="14" spans="1:61" x14ac:dyDescent="0.3">
      <c r="A14" s="123"/>
      <c r="B14" s="54" t="str">
        <f>B10</f>
        <v>Mes 1</v>
      </c>
      <c r="C14" s="54" t="str">
        <f t="shared" ref="C14:BI14" si="0">C10</f>
        <v>Mes 2</v>
      </c>
      <c r="D14" s="54" t="str">
        <f t="shared" si="0"/>
        <v>Mes 3</v>
      </c>
      <c r="E14" s="54" t="str">
        <f t="shared" si="0"/>
        <v>Mes 4</v>
      </c>
      <c r="F14" s="54" t="str">
        <f t="shared" si="0"/>
        <v>Mes 5</v>
      </c>
      <c r="G14" s="54" t="str">
        <f t="shared" si="0"/>
        <v>Mes 6</v>
      </c>
      <c r="H14" s="54" t="str">
        <f t="shared" si="0"/>
        <v>Mes 7</v>
      </c>
      <c r="I14" s="54" t="str">
        <f t="shared" si="0"/>
        <v>Mes 8</v>
      </c>
      <c r="J14" s="54" t="str">
        <f t="shared" si="0"/>
        <v>Mes 9</v>
      </c>
      <c r="K14" s="54" t="str">
        <f t="shared" si="0"/>
        <v>Mes 10</v>
      </c>
      <c r="L14" s="54" t="str">
        <f t="shared" si="0"/>
        <v>Mes 11</v>
      </c>
      <c r="M14" s="54" t="str">
        <f t="shared" si="0"/>
        <v>Mes 12</v>
      </c>
      <c r="N14" s="54" t="str">
        <f t="shared" si="0"/>
        <v>Mes 13</v>
      </c>
      <c r="O14" s="54" t="str">
        <f t="shared" si="0"/>
        <v>Mes 14</v>
      </c>
      <c r="P14" s="54" t="str">
        <f t="shared" si="0"/>
        <v>Mes 15</v>
      </c>
      <c r="Q14" s="54" t="str">
        <f t="shared" si="0"/>
        <v>Mes 16</v>
      </c>
      <c r="R14" s="54" t="str">
        <f t="shared" si="0"/>
        <v>Mes 17</v>
      </c>
      <c r="S14" s="54" t="str">
        <f t="shared" si="0"/>
        <v>Mes 18</v>
      </c>
      <c r="T14" s="54" t="str">
        <f t="shared" si="0"/>
        <v>Mes 19</v>
      </c>
      <c r="U14" s="54" t="str">
        <f t="shared" si="0"/>
        <v>Mes 20</v>
      </c>
      <c r="V14" s="54" t="str">
        <f t="shared" si="0"/>
        <v>Mes 21</v>
      </c>
      <c r="W14" s="54" t="str">
        <f t="shared" si="0"/>
        <v>Mes 22</v>
      </c>
      <c r="X14" s="54" t="str">
        <f t="shared" si="0"/>
        <v>Mes 23</v>
      </c>
      <c r="Y14" s="54" t="str">
        <f t="shared" si="0"/>
        <v>Mes 24</v>
      </c>
      <c r="Z14" s="54" t="str">
        <f t="shared" si="0"/>
        <v>Mes 25</v>
      </c>
      <c r="AA14" s="54" t="str">
        <f t="shared" si="0"/>
        <v>Mes 26</v>
      </c>
      <c r="AB14" s="54" t="str">
        <f t="shared" si="0"/>
        <v>Mes 27</v>
      </c>
      <c r="AC14" s="54" t="str">
        <f t="shared" si="0"/>
        <v>Mes 28</v>
      </c>
      <c r="AD14" s="54" t="str">
        <f t="shared" si="0"/>
        <v>Mes 29</v>
      </c>
      <c r="AE14" s="54" t="str">
        <f t="shared" si="0"/>
        <v>Mes 30</v>
      </c>
      <c r="AF14" s="54" t="str">
        <f t="shared" si="0"/>
        <v>Mes 31</v>
      </c>
      <c r="AG14" s="54" t="str">
        <f t="shared" si="0"/>
        <v>Mes 32</v>
      </c>
      <c r="AH14" s="54" t="str">
        <f t="shared" si="0"/>
        <v>Mes 33</v>
      </c>
      <c r="AI14" s="54" t="str">
        <f t="shared" si="0"/>
        <v>Mes 34</v>
      </c>
      <c r="AJ14" s="54" t="str">
        <f t="shared" si="0"/>
        <v>Mes 35</v>
      </c>
      <c r="AK14" s="54" t="str">
        <f t="shared" si="0"/>
        <v>Mes 36</v>
      </c>
      <c r="AL14" s="54" t="str">
        <f t="shared" si="0"/>
        <v>Mes 37</v>
      </c>
      <c r="AM14" s="54" t="str">
        <f t="shared" si="0"/>
        <v>Mes 38</v>
      </c>
      <c r="AN14" s="54" t="str">
        <f t="shared" si="0"/>
        <v>Mes 39</v>
      </c>
      <c r="AO14" s="54" t="str">
        <f t="shared" si="0"/>
        <v>Mes 40</v>
      </c>
      <c r="AP14" s="54" t="str">
        <f t="shared" si="0"/>
        <v>Mes 41</v>
      </c>
      <c r="AQ14" s="54" t="str">
        <f t="shared" si="0"/>
        <v>Mes 42</v>
      </c>
      <c r="AR14" s="54" t="str">
        <f t="shared" si="0"/>
        <v>Mes 43</v>
      </c>
      <c r="AS14" s="54" t="str">
        <f t="shared" si="0"/>
        <v>Mes 44</v>
      </c>
      <c r="AT14" s="54" t="str">
        <f t="shared" si="0"/>
        <v>Mes 45</v>
      </c>
      <c r="AU14" s="54" t="str">
        <f t="shared" si="0"/>
        <v>Mes 46</v>
      </c>
      <c r="AV14" s="54" t="str">
        <f t="shared" si="0"/>
        <v>Mes 47</v>
      </c>
      <c r="AW14" s="54" t="str">
        <f t="shared" si="0"/>
        <v>Mes 48</v>
      </c>
      <c r="AX14" s="54" t="str">
        <f t="shared" si="0"/>
        <v>Mes 49</v>
      </c>
      <c r="AY14" s="54" t="str">
        <f t="shared" si="0"/>
        <v>Mes 50</v>
      </c>
      <c r="AZ14" s="54" t="str">
        <f t="shared" si="0"/>
        <v>Mes 51</v>
      </c>
      <c r="BA14" s="54" t="str">
        <f t="shared" si="0"/>
        <v>Mes 52</v>
      </c>
      <c r="BB14" s="54" t="str">
        <f t="shared" si="0"/>
        <v>Mes 53</v>
      </c>
      <c r="BC14" s="54" t="str">
        <f t="shared" si="0"/>
        <v>Mes 54</v>
      </c>
      <c r="BD14" s="54" t="str">
        <f t="shared" si="0"/>
        <v>Mes 55</v>
      </c>
      <c r="BE14" s="54" t="str">
        <f t="shared" si="0"/>
        <v>Mes 56</v>
      </c>
      <c r="BF14" s="54" t="str">
        <f t="shared" si="0"/>
        <v>Mes 57</v>
      </c>
      <c r="BG14" s="54" t="str">
        <f t="shared" si="0"/>
        <v>Mes 58</v>
      </c>
      <c r="BH14" s="54" t="str">
        <f t="shared" si="0"/>
        <v>Mes 59</v>
      </c>
      <c r="BI14" s="54" t="str">
        <f t="shared" si="0"/>
        <v>Mes 60</v>
      </c>
    </row>
    <row r="15" spans="1:61" s="29" customFormat="1" x14ac:dyDescent="0.3">
      <c r="A15" s="28" t="str">
        <f>CONCATENATE("Total ingresos por ventas del producto o servicio"," ",Producto1)</f>
        <v>Total ingresos por ventas del producto o servicio Suscripcion Freemium</v>
      </c>
      <c r="B15" s="161">
        <v>0</v>
      </c>
      <c r="C15" s="161">
        <v>0</v>
      </c>
      <c r="D15" s="161">
        <v>0</v>
      </c>
      <c r="E15" s="161">
        <v>0</v>
      </c>
      <c r="F15" s="161">
        <v>0</v>
      </c>
      <c r="G15" s="161">
        <v>0</v>
      </c>
      <c r="H15" s="161">
        <v>0</v>
      </c>
      <c r="I15" s="161">
        <v>0</v>
      </c>
      <c r="J15" s="161">
        <v>0</v>
      </c>
      <c r="K15" s="161">
        <v>0</v>
      </c>
      <c r="L15" s="161">
        <v>0</v>
      </c>
      <c r="M15" s="161">
        <v>0</v>
      </c>
      <c r="N15" s="161">
        <v>0</v>
      </c>
      <c r="O15" s="161">
        <v>0</v>
      </c>
      <c r="P15" s="161">
        <v>0</v>
      </c>
      <c r="Q15" s="161">
        <v>0</v>
      </c>
      <c r="R15" s="161">
        <v>0</v>
      </c>
      <c r="S15" s="161">
        <v>0</v>
      </c>
      <c r="T15" s="161">
        <v>0</v>
      </c>
      <c r="U15" s="161">
        <v>0</v>
      </c>
      <c r="V15" s="161">
        <v>0</v>
      </c>
      <c r="W15" s="161">
        <v>0</v>
      </c>
      <c r="X15" s="161">
        <v>0</v>
      </c>
      <c r="Y15" s="161">
        <v>0</v>
      </c>
      <c r="Z15" s="161">
        <v>0</v>
      </c>
      <c r="AA15" s="161">
        <v>0</v>
      </c>
      <c r="AB15" s="161">
        <v>0</v>
      </c>
      <c r="AC15" s="161">
        <v>0</v>
      </c>
      <c r="AD15" s="161">
        <v>0</v>
      </c>
      <c r="AE15" s="161">
        <v>0</v>
      </c>
      <c r="AF15" s="161">
        <v>0</v>
      </c>
      <c r="AG15" s="161">
        <v>0</v>
      </c>
      <c r="AH15" s="161">
        <v>0</v>
      </c>
      <c r="AI15" s="161">
        <v>0</v>
      </c>
      <c r="AJ15" s="161">
        <v>0</v>
      </c>
      <c r="AK15" s="161">
        <v>0</v>
      </c>
      <c r="AL15" s="161">
        <v>0</v>
      </c>
      <c r="AM15" s="161">
        <v>0</v>
      </c>
      <c r="AN15" s="161">
        <v>0</v>
      </c>
      <c r="AO15" s="161">
        <v>0</v>
      </c>
      <c r="AP15" s="161">
        <v>0</v>
      </c>
      <c r="AQ15" s="161">
        <v>0</v>
      </c>
      <c r="AR15" s="161">
        <v>0</v>
      </c>
      <c r="AS15" s="161">
        <v>0</v>
      </c>
      <c r="AT15" s="161">
        <v>0</v>
      </c>
      <c r="AU15" s="161">
        <v>0</v>
      </c>
      <c r="AV15" s="161">
        <v>0</v>
      </c>
      <c r="AW15" s="161">
        <v>0</v>
      </c>
      <c r="AX15" s="161">
        <v>0</v>
      </c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</row>
    <row r="16" spans="1:61" s="29" customFormat="1" x14ac:dyDescent="0.3">
      <c r="A16" s="28" t="str">
        <f>CONCATENATE("Total ingresos por ventas del producto o servicio"," ",Producto2)</f>
        <v>Total ingresos por ventas del producto o servicio Suscripcion Premium</v>
      </c>
      <c r="B16" s="161">
        <v>400000</v>
      </c>
      <c r="C16" s="161">
        <v>600000</v>
      </c>
      <c r="D16" s="161">
        <v>880000</v>
      </c>
      <c r="E16" s="161">
        <v>1200000</v>
      </c>
      <c r="F16" s="161">
        <v>1520000</v>
      </c>
      <c r="G16" s="161">
        <v>1800000</v>
      </c>
      <c r="H16" s="161">
        <v>2200000</v>
      </c>
      <c r="I16" s="161">
        <v>2600000</v>
      </c>
      <c r="J16" s="161">
        <v>3000000</v>
      </c>
      <c r="K16" s="161">
        <v>3400000</v>
      </c>
      <c r="L16" s="161">
        <v>3800000</v>
      </c>
      <c r="M16" s="161">
        <v>4400000</v>
      </c>
      <c r="N16" s="161">
        <v>5000000</v>
      </c>
      <c r="O16" s="161">
        <v>5800000</v>
      </c>
      <c r="P16" s="161">
        <v>6600000</v>
      </c>
      <c r="Q16" s="161">
        <v>7400000</v>
      </c>
      <c r="R16" s="161">
        <v>8400000</v>
      </c>
      <c r="S16" s="161">
        <v>9400000</v>
      </c>
      <c r="T16" s="161">
        <v>10400000</v>
      </c>
      <c r="U16" s="161">
        <v>11600000</v>
      </c>
      <c r="V16" s="161">
        <v>12800000</v>
      </c>
      <c r="W16" s="161">
        <v>14000000</v>
      </c>
      <c r="X16" s="161">
        <v>15200000</v>
      </c>
      <c r="Y16" s="161">
        <v>16800000</v>
      </c>
      <c r="Z16" s="161">
        <v>18400000</v>
      </c>
      <c r="AA16" s="161">
        <v>20000000</v>
      </c>
      <c r="AB16" s="161">
        <v>21800000</v>
      </c>
      <c r="AC16" s="161">
        <v>23600000</v>
      </c>
      <c r="AD16" s="161">
        <v>25600000</v>
      </c>
      <c r="AE16" s="161">
        <v>27600000</v>
      </c>
      <c r="AF16" s="161">
        <v>29800000</v>
      </c>
      <c r="AG16" s="161">
        <v>32000000</v>
      </c>
      <c r="AH16" s="161">
        <v>34400000</v>
      </c>
      <c r="AI16" s="161">
        <v>36800000</v>
      </c>
      <c r="AJ16" s="161">
        <v>39200000</v>
      </c>
      <c r="AK16" s="161">
        <v>42000000</v>
      </c>
      <c r="AL16" s="161">
        <v>44800000</v>
      </c>
      <c r="AM16" s="161">
        <v>47600000</v>
      </c>
      <c r="AN16" s="161">
        <v>50400000</v>
      </c>
      <c r="AO16" s="161">
        <v>53600000</v>
      </c>
      <c r="AP16" s="161">
        <v>56800000</v>
      </c>
      <c r="AQ16" s="161">
        <v>60000000</v>
      </c>
      <c r="AR16" s="161">
        <v>63200000</v>
      </c>
      <c r="AS16" s="161">
        <v>66400000</v>
      </c>
      <c r="AT16" s="161">
        <v>69600000</v>
      </c>
      <c r="AU16" s="161">
        <v>73200000</v>
      </c>
      <c r="AV16" s="161">
        <v>76800000</v>
      </c>
      <c r="AW16" s="161">
        <v>80800000</v>
      </c>
      <c r="AX16" s="161">
        <v>84800000</v>
      </c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</row>
    <row r="17" spans="1:61" s="29" customFormat="1" x14ac:dyDescent="0.3">
      <c r="A17" s="28" t="str">
        <f>CONCATENATE("Total ingresos por ventas del producto o servicio"," ",Producto3)</f>
        <v xml:space="preserve">Total ingresos por ventas del producto o servicio 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</row>
    <row r="18" spans="1:61" s="29" customFormat="1" x14ac:dyDescent="0.3">
      <c r="A18" s="28" t="str">
        <f>CONCATENATE("Total ingresos por ventas del producto o servicio"," ",Producto4)</f>
        <v xml:space="preserve">Total ingresos por ventas del producto o servicio </v>
      </c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</row>
    <row r="19" spans="1:61" s="29" customFormat="1" x14ac:dyDescent="0.3">
      <c r="A19" s="28" t="str">
        <f>CONCATENATE("Total ingresos por ventas del producto o servicio"," ",Producto5)</f>
        <v xml:space="preserve">Total ingresos por ventas del producto o servicio 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</row>
    <row r="20" spans="1:61" s="29" customFormat="1" x14ac:dyDescent="0.3">
      <c r="A20" s="28" t="str">
        <f>CONCATENATE("Total ingresos por ventas del producto o servicio"," ",Producto6)</f>
        <v xml:space="preserve">Total ingresos por ventas del producto o servicio 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</row>
    <row r="21" spans="1:61" s="29" customFormat="1" x14ac:dyDescent="0.3">
      <c r="A21" s="28" t="str">
        <f>CONCATENATE("Total ingresos por ventas del producto o servicio"," ",Producto7)</f>
        <v xml:space="preserve">Total ingresos por ventas del producto o servicio 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</row>
    <row r="22" spans="1:61" s="29" customFormat="1" x14ac:dyDescent="0.3">
      <c r="A22" s="28" t="str">
        <f>CONCATENATE("Total ingresos por ventas del producto o servicio"," ",Producto8)</f>
        <v xml:space="preserve">Total ingresos por ventas del producto o servicio </v>
      </c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</row>
    <row r="23" spans="1:61" s="29" customFormat="1" x14ac:dyDescent="0.3">
      <c r="A23" s="28" t="str">
        <f>CONCATENATE("Total ingresos por ventas del producto o servicio"," ",Producto9)</f>
        <v xml:space="preserve">Total ingresos por ventas del producto o servicio 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</row>
    <row r="24" spans="1:61" s="29" customFormat="1" x14ac:dyDescent="0.3">
      <c r="A24" s="28" t="str">
        <f>CONCATENATE("Total ingresos por ventas del producto o servicio"," ",Producto10)</f>
        <v xml:space="preserve">Total ingresos por ventas del producto o servicio </v>
      </c>
      <c r="B24" s="96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</row>
    <row r="25" spans="1:61" s="29" customFormat="1" x14ac:dyDescent="0.3">
      <c r="A25" s="28" t="str">
        <f>CONCATENATE("Total ingresos por ventas del producto o servicio"," ",Producto11)</f>
        <v xml:space="preserve">Total ingresos por ventas del producto o servicio 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</row>
    <row r="26" spans="1:61" s="29" customFormat="1" x14ac:dyDescent="0.3">
      <c r="A26" s="28" t="str">
        <f>CONCATENATE("Total ingresos por ventas del producto o servicio"," ",Producto12)</f>
        <v xml:space="preserve">Total ingresos por ventas del producto o servicio 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</row>
    <row r="27" spans="1:61" s="29" customFormat="1" x14ac:dyDescent="0.3">
      <c r="A27" s="28" t="str">
        <f>CONCATENATE("Total ingresos por ventas del producto o servicio"," ",Producto13)</f>
        <v xml:space="preserve">Total ingresos por ventas del producto o servicio 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</row>
    <row r="28" spans="1:61" s="29" customFormat="1" x14ac:dyDescent="0.3">
      <c r="A28" s="28" t="str">
        <f>CONCATENATE("Total ingresos por ventas del producto o servicio"," ",Producto14)</f>
        <v xml:space="preserve">Total ingresos por ventas del producto o servicio 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</row>
    <row r="29" spans="1:61" s="29" customFormat="1" x14ac:dyDescent="0.3">
      <c r="A29" s="28" t="str">
        <f>CONCATENATE("Total ingresos por ventas del producto o servicio"," ",Producto15)</f>
        <v xml:space="preserve">Total ingresos por ventas del producto o servicio 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</row>
    <row r="30" spans="1:61" x14ac:dyDescent="0.3">
      <c r="A30" s="8" t="s">
        <v>129</v>
      </c>
      <c r="B30" s="9">
        <f>SUM(B15:B29)</f>
        <v>400000</v>
      </c>
      <c r="C30" s="9">
        <f t="shared" ref="C30:N30" si="1">SUM(C15:C29)</f>
        <v>600000</v>
      </c>
      <c r="D30" s="9">
        <f t="shared" si="1"/>
        <v>880000</v>
      </c>
      <c r="E30" s="9">
        <f t="shared" si="1"/>
        <v>1200000</v>
      </c>
      <c r="F30" s="9">
        <f t="shared" si="1"/>
        <v>1520000</v>
      </c>
      <c r="G30" s="9">
        <f t="shared" si="1"/>
        <v>1800000</v>
      </c>
      <c r="H30" s="9">
        <f t="shared" si="1"/>
        <v>2200000</v>
      </c>
      <c r="I30" s="9">
        <f t="shared" si="1"/>
        <v>2600000</v>
      </c>
      <c r="J30" s="9">
        <f t="shared" si="1"/>
        <v>3000000</v>
      </c>
      <c r="K30" s="9">
        <f t="shared" si="1"/>
        <v>3400000</v>
      </c>
      <c r="L30" s="9">
        <f t="shared" si="1"/>
        <v>3800000</v>
      </c>
      <c r="M30" s="9">
        <f t="shared" si="1"/>
        <v>4400000</v>
      </c>
      <c r="N30" s="9">
        <f t="shared" si="1"/>
        <v>5000000</v>
      </c>
      <c r="O30" s="9">
        <f t="shared" ref="O30:AG30" si="2">SUM(O15:O29)</f>
        <v>5800000</v>
      </c>
      <c r="P30" s="9">
        <f t="shared" si="2"/>
        <v>6600000</v>
      </c>
      <c r="Q30" s="9">
        <f t="shared" si="2"/>
        <v>7400000</v>
      </c>
      <c r="R30" s="9">
        <f t="shared" si="2"/>
        <v>8400000</v>
      </c>
      <c r="S30" s="9">
        <f t="shared" si="2"/>
        <v>9400000</v>
      </c>
      <c r="T30" s="9">
        <f t="shared" si="2"/>
        <v>10400000</v>
      </c>
      <c r="U30" s="9">
        <f t="shared" si="2"/>
        <v>11600000</v>
      </c>
      <c r="V30" s="9">
        <f t="shared" si="2"/>
        <v>12800000</v>
      </c>
      <c r="W30" s="9">
        <f t="shared" si="2"/>
        <v>14000000</v>
      </c>
      <c r="X30" s="9">
        <f t="shared" si="2"/>
        <v>15200000</v>
      </c>
      <c r="Y30" s="9">
        <f t="shared" si="2"/>
        <v>16800000</v>
      </c>
      <c r="Z30" s="9">
        <f t="shared" si="2"/>
        <v>18400000</v>
      </c>
      <c r="AA30" s="9">
        <f t="shared" si="2"/>
        <v>20000000</v>
      </c>
      <c r="AB30" s="9">
        <f t="shared" si="2"/>
        <v>21800000</v>
      </c>
      <c r="AC30" s="9">
        <f t="shared" si="2"/>
        <v>23600000</v>
      </c>
      <c r="AD30" s="9">
        <f t="shared" si="2"/>
        <v>25600000</v>
      </c>
      <c r="AE30" s="9">
        <f t="shared" si="2"/>
        <v>27600000</v>
      </c>
      <c r="AF30" s="9">
        <f t="shared" si="2"/>
        <v>29800000</v>
      </c>
      <c r="AG30" s="9">
        <f t="shared" si="2"/>
        <v>32000000</v>
      </c>
      <c r="AH30" s="9">
        <f t="shared" ref="AH30:BI30" si="3">SUM(AH15:AH29)</f>
        <v>34400000</v>
      </c>
      <c r="AI30" s="9">
        <f t="shared" si="3"/>
        <v>36800000</v>
      </c>
      <c r="AJ30" s="9">
        <f t="shared" si="3"/>
        <v>39200000</v>
      </c>
      <c r="AK30" s="9">
        <f t="shared" si="3"/>
        <v>42000000</v>
      </c>
      <c r="AL30" s="9">
        <f t="shared" si="3"/>
        <v>44800000</v>
      </c>
      <c r="AM30" s="9">
        <f t="shared" si="3"/>
        <v>47600000</v>
      </c>
      <c r="AN30" s="9">
        <f t="shared" si="3"/>
        <v>50400000</v>
      </c>
      <c r="AO30" s="9">
        <f t="shared" si="3"/>
        <v>53600000</v>
      </c>
      <c r="AP30" s="9">
        <f t="shared" si="3"/>
        <v>56800000</v>
      </c>
      <c r="AQ30" s="9">
        <f t="shared" si="3"/>
        <v>60000000</v>
      </c>
      <c r="AR30" s="9">
        <f t="shared" si="3"/>
        <v>63200000</v>
      </c>
      <c r="AS30" s="9">
        <f t="shared" si="3"/>
        <v>66400000</v>
      </c>
      <c r="AT30" s="9">
        <f t="shared" si="3"/>
        <v>69600000</v>
      </c>
      <c r="AU30" s="9">
        <f t="shared" si="3"/>
        <v>73200000</v>
      </c>
      <c r="AV30" s="9">
        <f t="shared" si="3"/>
        <v>76800000</v>
      </c>
      <c r="AW30" s="9">
        <f t="shared" si="3"/>
        <v>80800000</v>
      </c>
      <c r="AX30" s="9">
        <f t="shared" si="3"/>
        <v>84800000</v>
      </c>
      <c r="AY30" s="9">
        <f t="shared" si="3"/>
        <v>0</v>
      </c>
      <c r="AZ30" s="9">
        <f t="shared" si="3"/>
        <v>0</v>
      </c>
      <c r="BA30" s="9">
        <f t="shared" si="3"/>
        <v>0</v>
      </c>
      <c r="BB30" s="9">
        <f t="shared" si="3"/>
        <v>0</v>
      </c>
      <c r="BC30" s="9">
        <f t="shared" si="3"/>
        <v>0</v>
      </c>
      <c r="BD30" s="9">
        <f t="shared" si="3"/>
        <v>0</v>
      </c>
      <c r="BE30" s="9">
        <f t="shared" si="3"/>
        <v>0</v>
      </c>
      <c r="BF30" s="9">
        <f t="shared" si="3"/>
        <v>0</v>
      </c>
      <c r="BG30" s="9">
        <f t="shared" si="3"/>
        <v>0</v>
      </c>
      <c r="BH30" s="9">
        <f t="shared" si="3"/>
        <v>0</v>
      </c>
      <c r="BI30" s="9">
        <f t="shared" si="3"/>
        <v>0</v>
      </c>
    </row>
    <row r="32" spans="1:61" s="75" customFormat="1" ht="12" x14ac:dyDescent="0.2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</row>
    <row r="33" spans="1:7" s="75" customFormat="1" ht="12" x14ac:dyDescent="0.25">
      <c r="A33" s="76" t="s">
        <v>60</v>
      </c>
    </row>
    <row r="34" spans="1:7" s="75" customFormat="1" ht="12" x14ac:dyDescent="0.25">
      <c r="A34" s="76" t="s">
        <v>61</v>
      </c>
    </row>
    <row r="35" spans="1:7" s="75" customFormat="1" ht="12" x14ac:dyDescent="0.25">
      <c r="A35" s="76" t="s">
        <v>130</v>
      </c>
    </row>
    <row r="36" spans="1:7" s="75" customFormat="1" ht="12" x14ac:dyDescent="0.25">
      <c r="A36" s="76" t="s">
        <v>63</v>
      </c>
    </row>
    <row r="37" spans="1:7" s="75" customFormat="1" ht="12" x14ac:dyDescent="0.25">
      <c r="A37" s="117" t="s">
        <v>64</v>
      </c>
      <c r="B37" s="117"/>
      <c r="C37" s="117"/>
      <c r="D37" s="117"/>
      <c r="E37" s="117"/>
      <c r="F37" s="117"/>
      <c r="G37" s="117"/>
    </row>
  </sheetData>
  <sheetProtection formatColumns="0"/>
  <mergeCells count="15">
    <mergeCell ref="B1:M4"/>
    <mergeCell ref="B5:M5"/>
    <mergeCell ref="Z9:AK9"/>
    <mergeCell ref="A37:G37"/>
    <mergeCell ref="AX13:BI13"/>
    <mergeCell ref="AX9:BI9"/>
    <mergeCell ref="A9:A10"/>
    <mergeCell ref="B9:M9"/>
    <mergeCell ref="N9:Y9"/>
    <mergeCell ref="A13:A14"/>
    <mergeCell ref="B13:M13"/>
    <mergeCell ref="N13:Y13"/>
    <mergeCell ref="Z13:AK13"/>
    <mergeCell ref="AL13:AW13"/>
    <mergeCell ref="AL9:AW9"/>
  </mergeCells>
  <phoneticPr fontId="1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I72"/>
  <sheetViews>
    <sheetView showGridLines="0" topLeftCell="A47" zoomScaleNormal="100" workbookViewId="0">
      <selection activeCell="A31" sqref="A31:A34"/>
    </sheetView>
  </sheetViews>
  <sheetFormatPr baseColWidth="10" defaultColWidth="11" defaultRowHeight="15.6" x14ac:dyDescent="0.3"/>
  <cols>
    <col min="1" max="1" width="71.3984375" bestFit="1" customWidth="1"/>
    <col min="2" max="2" width="15.09765625" customWidth="1"/>
    <col min="3" max="13" width="15.09765625" bestFit="1" customWidth="1"/>
    <col min="14" max="14" width="15.09765625" customWidth="1"/>
    <col min="15" max="49" width="15.09765625" bestFit="1" customWidth="1"/>
    <col min="50" max="50" width="15.09765625" customWidth="1"/>
    <col min="51" max="51" width="15.09765625" bestFit="1" customWidth="1"/>
    <col min="52" max="61" width="15.59765625" bestFit="1" customWidth="1"/>
  </cols>
  <sheetData>
    <row r="1" spans="1:61" ht="15.9" customHeight="1" x14ac:dyDescent="0.3">
      <c r="B1" s="133" t="str">
        <f>CONCATENATE(INICIO!$B$10," ",INICIO!$B$11)</f>
        <v>TIZA S.A.S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pans="1:61" ht="15.9" customHeight="1" x14ac:dyDescent="0.3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spans="1:61" ht="15.9" customHeight="1" x14ac:dyDescent="0.3"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1:61" ht="15.9" customHeight="1" x14ac:dyDescent="0.3"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</row>
    <row r="5" spans="1:61" x14ac:dyDescent="0.3">
      <c r="B5" s="134" t="s">
        <v>131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</row>
    <row r="7" spans="1:61" x14ac:dyDescent="0.3">
      <c r="A7" s="3"/>
    </row>
    <row r="8" spans="1:61" x14ac:dyDescent="0.3">
      <c r="A8" s="123" t="s">
        <v>132</v>
      </c>
      <c r="B8" s="103">
        <f>Año1</f>
        <v>2027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>
        <f>Año2</f>
        <v>2028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>
        <f>Año3</f>
        <v>2029</v>
      </c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>
        <f>Año4</f>
        <v>2030</v>
      </c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>
        <f>Año5</f>
        <v>2031</v>
      </c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</row>
    <row r="9" spans="1:61" x14ac:dyDescent="0.3">
      <c r="A9" s="123"/>
      <c r="B9" s="54" t="s">
        <v>67</v>
      </c>
      <c r="C9" s="54" t="s">
        <v>68</v>
      </c>
      <c r="D9" s="54" t="s">
        <v>69</v>
      </c>
      <c r="E9" s="54" t="s">
        <v>70</v>
      </c>
      <c r="F9" s="54" t="s">
        <v>71</v>
      </c>
      <c r="G9" s="54" t="s">
        <v>72</v>
      </c>
      <c r="H9" s="54" t="s">
        <v>73</v>
      </c>
      <c r="I9" s="54" t="s">
        <v>74</v>
      </c>
      <c r="J9" s="54" t="s">
        <v>75</v>
      </c>
      <c r="K9" s="54" t="s">
        <v>76</v>
      </c>
      <c r="L9" s="54" t="s">
        <v>77</v>
      </c>
      <c r="M9" s="54" t="s">
        <v>78</v>
      </c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54" t="s">
        <v>85</v>
      </c>
      <c r="U9" s="54" t="s">
        <v>86</v>
      </c>
      <c r="V9" s="54" t="s">
        <v>87</v>
      </c>
      <c r="W9" s="54" t="s">
        <v>88</v>
      </c>
      <c r="X9" s="54" t="s">
        <v>89</v>
      </c>
      <c r="Y9" s="54" t="s">
        <v>90</v>
      </c>
      <c r="Z9" s="54" t="s">
        <v>91</v>
      </c>
      <c r="AA9" s="54" t="s">
        <v>92</v>
      </c>
      <c r="AB9" s="54" t="s">
        <v>93</v>
      </c>
      <c r="AC9" s="54" t="s">
        <v>94</v>
      </c>
      <c r="AD9" s="54" t="s">
        <v>95</v>
      </c>
      <c r="AE9" s="54" t="s">
        <v>96</v>
      </c>
      <c r="AF9" s="54" t="s">
        <v>97</v>
      </c>
      <c r="AG9" s="54" t="s">
        <v>98</v>
      </c>
      <c r="AH9" s="54" t="s">
        <v>99</v>
      </c>
      <c r="AI9" s="54" t="s">
        <v>100</v>
      </c>
      <c r="AJ9" s="54" t="s">
        <v>101</v>
      </c>
      <c r="AK9" s="54" t="s">
        <v>102</v>
      </c>
      <c r="AL9" s="54" t="s">
        <v>103</v>
      </c>
      <c r="AM9" s="54" t="s">
        <v>104</v>
      </c>
      <c r="AN9" s="54" t="s">
        <v>105</v>
      </c>
      <c r="AO9" s="54" t="s">
        <v>106</v>
      </c>
      <c r="AP9" s="54" t="s">
        <v>107</v>
      </c>
      <c r="AQ9" s="54" t="s">
        <v>108</v>
      </c>
      <c r="AR9" s="54" t="s">
        <v>109</v>
      </c>
      <c r="AS9" s="54" t="s">
        <v>110</v>
      </c>
      <c r="AT9" s="54" t="s">
        <v>111</v>
      </c>
      <c r="AU9" s="54" t="s">
        <v>112</v>
      </c>
      <c r="AV9" s="54" t="s">
        <v>113</v>
      </c>
      <c r="AW9" s="54" t="s">
        <v>114</v>
      </c>
      <c r="AX9" s="54" t="s">
        <v>115</v>
      </c>
      <c r="AY9" s="54" t="s">
        <v>116</v>
      </c>
      <c r="AZ9" s="54" t="s">
        <v>117</v>
      </c>
      <c r="BA9" s="54" t="s">
        <v>118</v>
      </c>
      <c r="BB9" s="54" t="s">
        <v>119</v>
      </c>
      <c r="BC9" s="54" t="s">
        <v>120</v>
      </c>
      <c r="BD9" s="54" t="s">
        <v>121</v>
      </c>
      <c r="BE9" s="54" t="s">
        <v>122</v>
      </c>
      <c r="BF9" s="54" t="s">
        <v>123</v>
      </c>
      <c r="BG9" s="54" t="s">
        <v>124</v>
      </c>
      <c r="BH9" s="54" t="s">
        <v>125</v>
      </c>
      <c r="BI9" s="54" t="s">
        <v>126</v>
      </c>
    </row>
    <row r="10" spans="1:61" x14ac:dyDescent="0.3">
      <c r="A10" s="20" t="s">
        <v>133</v>
      </c>
      <c r="B10" s="160">
        <v>48140</v>
      </c>
      <c r="C10" s="160">
        <v>51460</v>
      </c>
      <c r="D10" s="160">
        <v>56108</v>
      </c>
      <c r="E10" s="160">
        <v>61420</v>
      </c>
      <c r="F10" s="160">
        <v>66732</v>
      </c>
      <c r="G10" s="160">
        <v>71380</v>
      </c>
      <c r="H10" s="160">
        <v>78020</v>
      </c>
      <c r="I10" s="160">
        <v>84660</v>
      </c>
      <c r="J10" s="160">
        <v>91300</v>
      </c>
      <c r="K10" s="160">
        <v>97940</v>
      </c>
      <c r="L10" s="160">
        <v>104580</v>
      </c>
      <c r="M10" s="160">
        <v>114540</v>
      </c>
      <c r="N10" s="160">
        <v>128400</v>
      </c>
      <c r="O10" s="160">
        <v>142096</v>
      </c>
      <c r="P10" s="160">
        <v>155792</v>
      </c>
      <c r="Q10" s="160">
        <v>169488</v>
      </c>
      <c r="R10" s="160">
        <v>186608</v>
      </c>
      <c r="S10" s="160">
        <v>203728</v>
      </c>
      <c r="T10" s="160">
        <v>220848</v>
      </c>
      <c r="U10" s="160">
        <v>241392</v>
      </c>
      <c r="V10" s="160">
        <v>261936</v>
      </c>
      <c r="W10" s="160">
        <v>282480</v>
      </c>
      <c r="X10" s="160">
        <v>303024</v>
      </c>
      <c r="Y10" s="160">
        <v>330416</v>
      </c>
      <c r="Z10" s="160">
        <v>368676</v>
      </c>
      <c r="AA10" s="160">
        <v>396900</v>
      </c>
      <c r="AB10" s="160">
        <v>428652</v>
      </c>
      <c r="AC10" s="160">
        <v>460404</v>
      </c>
      <c r="AD10" s="160">
        <v>495684</v>
      </c>
      <c r="AE10" s="160">
        <v>530964</v>
      </c>
      <c r="AF10" s="160">
        <v>569772</v>
      </c>
      <c r="AG10" s="160">
        <v>608580</v>
      </c>
      <c r="AH10" s="160">
        <v>650916</v>
      </c>
      <c r="AI10" s="160">
        <v>693252</v>
      </c>
      <c r="AJ10" s="160">
        <v>735588</v>
      </c>
      <c r="AK10" s="160">
        <v>784980</v>
      </c>
      <c r="AL10" s="160">
        <v>834372</v>
      </c>
      <c r="AM10" s="160">
        <v>883764</v>
      </c>
      <c r="AN10" s="160">
        <v>933156</v>
      </c>
      <c r="AO10" s="160">
        <v>989604</v>
      </c>
      <c r="AP10" s="160">
        <v>1046052</v>
      </c>
      <c r="AQ10" s="160">
        <v>1102500</v>
      </c>
      <c r="AR10" s="160">
        <v>1158948</v>
      </c>
      <c r="AS10" s="160">
        <v>1215396</v>
      </c>
      <c r="AT10" s="160">
        <v>1271844</v>
      </c>
      <c r="AU10" s="160">
        <v>1335348</v>
      </c>
      <c r="AV10" s="160">
        <v>1398852</v>
      </c>
      <c r="AW10" s="160">
        <v>1469412</v>
      </c>
      <c r="AX10" s="160">
        <v>1539972</v>
      </c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</row>
    <row r="11" spans="1:61" x14ac:dyDescent="0.3">
      <c r="A11" s="20" t="s">
        <v>134</v>
      </c>
      <c r="B11" s="160">
        <v>5187</v>
      </c>
      <c r="C11" s="160">
        <v>5187</v>
      </c>
      <c r="D11" s="160">
        <v>5187</v>
      </c>
      <c r="E11" s="160">
        <v>5187</v>
      </c>
      <c r="F11" s="160">
        <v>5187</v>
      </c>
      <c r="G11" s="160">
        <v>5187</v>
      </c>
      <c r="H11" s="160">
        <v>5187</v>
      </c>
      <c r="I11" s="160">
        <v>5187</v>
      </c>
      <c r="J11" s="160">
        <v>5187</v>
      </c>
      <c r="K11" s="160">
        <v>5187</v>
      </c>
      <c r="L11" s="160">
        <v>5187</v>
      </c>
      <c r="M11" s="160">
        <v>5187</v>
      </c>
      <c r="N11" s="160">
        <v>5350</v>
      </c>
      <c r="O11" s="160">
        <v>5350</v>
      </c>
      <c r="P11" s="160">
        <v>5350</v>
      </c>
      <c r="Q11" s="160">
        <v>5350</v>
      </c>
      <c r="R11" s="160">
        <v>5350</v>
      </c>
      <c r="S11" s="160">
        <v>5350</v>
      </c>
      <c r="T11" s="160">
        <v>5350</v>
      </c>
      <c r="U11" s="160">
        <v>5350</v>
      </c>
      <c r="V11" s="160">
        <v>5350</v>
      </c>
      <c r="W11" s="160">
        <v>5350</v>
      </c>
      <c r="X11" s="160">
        <v>5350</v>
      </c>
      <c r="Y11" s="160">
        <v>5350</v>
      </c>
      <c r="Z11" s="160">
        <v>5512</v>
      </c>
      <c r="AA11" s="160">
        <v>5512</v>
      </c>
      <c r="AB11" s="160">
        <v>5512</v>
      </c>
      <c r="AC11" s="160">
        <v>5512</v>
      </c>
      <c r="AD11" s="160">
        <v>5512</v>
      </c>
      <c r="AE11" s="160">
        <v>5512</v>
      </c>
      <c r="AF11" s="160">
        <v>5512</v>
      </c>
      <c r="AG11" s="160">
        <v>5512</v>
      </c>
      <c r="AH11" s="160">
        <v>5512</v>
      </c>
      <c r="AI11" s="160">
        <v>5512</v>
      </c>
      <c r="AJ11" s="160">
        <v>5512</v>
      </c>
      <c r="AK11" s="160">
        <v>5512</v>
      </c>
      <c r="AL11" s="160">
        <v>5512</v>
      </c>
      <c r="AM11" s="160">
        <v>5512</v>
      </c>
      <c r="AN11" s="160">
        <v>5512</v>
      </c>
      <c r="AO11" s="160">
        <v>5512</v>
      </c>
      <c r="AP11" s="160">
        <v>5512</v>
      </c>
      <c r="AQ11" s="160">
        <v>5512</v>
      </c>
      <c r="AR11" s="160">
        <v>5512</v>
      </c>
      <c r="AS11" s="160">
        <v>5512</v>
      </c>
      <c r="AT11" s="160">
        <v>5512</v>
      </c>
      <c r="AU11" s="160">
        <v>5512</v>
      </c>
      <c r="AV11" s="160">
        <v>5512</v>
      </c>
      <c r="AW11" s="160">
        <v>5512</v>
      </c>
      <c r="AX11" s="160">
        <v>5512</v>
      </c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</row>
    <row r="12" spans="1:61" x14ac:dyDescent="0.3">
      <c r="A12" s="20" t="s">
        <v>135</v>
      </c>
      <c r="B12" s="160">
        <v>0</v>
      </c>
      <c r="C12" s="160">
        <v>0</v>
      </c>
      <c r="D12" s="160">
        <v>0</v>
      </c>
      <c r="E12" s="160">
        <v>0</v>
      </c>
      <c r="F12" s="160">
        <v>0</v>
      </c>
      <c r="G12" s="160">
        <v>0</v>
      </c>
      <c r="H12" s="160">
        <v>103750</v>
      </c>
      <c r="I12" s="160">
        <v>103750</v>
      </c>
      <c r="J12" s="160">
        <v>103750</v>
      </c>
      <c r="K12" s="160">
        <v>103750</v>
      </c>
      <c r="L12" s="160">
        <v>103750</v>
      </c>
      <c r="M12" s="160">
        <v>103750</v>
      </c>
      <c r="N12" s="160">
        <v>107000</v>
      </c>
      <c r="O12" s="160">
        <v>107000</v>
      </c>
      <c r="P12" s="160">
        <v>107000</v>
      </c>
      <c r="Q12" s="160">
        <v>107000</v>
      </c>
      <c r="R12" s="160">
        <v>107000</v>
      </c>
      <c r="S12" s="160">
        <v>107000</v>
      </c>
      <c r="T12" s="160">
        <v>107000</v>
      </c>
      <c r="U12" s="160">
        <v>107000</v>
      </c>
      <c r="V12" s="160">
        <v>107000</v>
      </c>
      <c r="W12" s="160">
        <v>107000</v>
      </c>
      <c r="X12" s="160">
        <v>107000</v>
      </c>
      <c r="Y12" s="160">
        <v>107000</v>
      </c>
      <c r="Z12" s="160">
        <v>220500</v>
      </c>
      <c r="AA12" s="160">
        <v>220500</v>
      </c>
      <c r="AB12" s="160">
        <v>220500</v>
      </c>
      <c r="AC12" s="160">
        <v>220500</v>
      </c>
      <c r="AD12" s="160">
        <v>220500</v>
      </c>
      <c r="AE12" s="160">
        <v>220500</v>
      </c>
      <c r="AF12" s="160">
        <v>220500</v>
      </c>
      <c r="AG12" s="160">
        <v>220500</v>
      </c>
      <c r="AH12" s="160">
        <v>220500</v>
      </c>
      <c r="AI12" s="160">
        <v>220500</v>
      </c>
      <c r="AJ12" s="160">
        <v>220500</v>
      </c>
      <c r="AK12" s="160">
        <v>220500</v>
      </c>
      <c r="AL12" s="160">
        <v>220500</v>
      </c>
      <c r="AM12" s="160">
        <v>220500</v>
      </c>
      <c r="AN12" s="160">
        <v>220500</v>
      </c>
      <c r="AO12" s="160">
        <v>220500</v>
      </c>
      <c r="AP12" s="160">
        <v>220500</v>
      </c>
      <c r="AQ12" s="160">
        <v>220500</v>
      </c>
      <c r="AR12" s="160">
        <v>220500</v>
      </c>
      <c r="AS12" s="160">
        <v>220500</v>
      </c>
      <c r="AT12" s="160">
        <v>220500</v>
      </c>
      <c r="AU12" s="160">
        <v>220500</v>
      </c>
      <c r="AV12" s="160">
        <v>220500</v>
      </c>
      <c r="AW12" s="160">
        <v>220500</v>
      </c>
      <c r="AX12" s="160">
        <v>220500</v>
      </c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</row>
    <row r="13" spans="1:61" x14ac:dyDescent="0.3">
      <c r="A13" s="20" t="s">
        <v>136</v>
      </c>
      <c r="B13" s="160">
        <v>68000</v>
      </c>
      <c r="C13" s="160">
        <v>68000</v>
      </c>
      <c r="D13" s="160">
        <v>68000</v>
      </c>
      <c r="E13" s="160">
        <v>68000</v>
      </c>
      <c r="F13" s="160">
        <v>68000</v>
      </c>
      <c r="G13" s="160">
        <v>68000</v>
      </c>
      <c r="H13" s="160">
        <v>68000</v>
      </c>
      <c r="I13" s="160">
        <v>68000</v>
      </c>
      <c r="J13" s="160">
        <v>68000</v>
      </c>
      <c r="K13" s="160">
        <v>68000</v>
      </c>
      <c r="L13" s="160">
        <v>68000</v>
      </c>
      <c r="M13" s="160">
        <v>68000</v>
      </c>
      <c r="N13" s="160">
        <v>71200</v>
      </c>
      <c r="O13" s="160">
        <v>71200</v>
      </c>
      <c r="P13" s="160">
        <v>71200</v>
      </c>
      <c r="Q13" s="160">
        <v>71200</v>
      </c>
      <c r="R13" s="160">
        <v>71200</v>
      </c>
      <c r="S13" s="160">
        <v>71200</v>
      </c>
      <c r="T13" s="160">
        <v>71200</v>
      </c>
      <c r="U13" s="160">
        <v>71200</v>
      </c>
      <c r="V13" s="160">
        <v>71200</v>
      </c>
      <c r="W13" s="160">
        <v>71200</v>
      </c>
      <c r="X13" s="160">
        <v>71200</v>
      </c>
      <c r="Y13" s="160">
        <v>71200</v>
      </c>
      <c r="Z13" s="160">
        <v>74400</v>
      </c>
      <c r="AA13" s="160">
        <v>74400</v>
      </c>
      <c r="AB13" s="160">
        <v>74400</v>
      </c>
      <c r="AC13" s="160">
        <v>74400</v>
      </c>
      <c r="AD13" s="160">
        <v>74400</v>
      </c>
      <c r="AE13" s="160">
        <v>74400</v>
      </c>
      <c r="AF13" s="160">
        <v>74400</v>
      </c>
      <c r="AG13" s="160">
        <v>74400</v>
      </c>
      <c r="AH13" s="160">
        <v>74400</v>
      </c>
      <c r="AI13" s="160">
        <v>74400</v>
      </c>
      <c r="AJ13" s="160">
        <v>74400</v>
      </c>
      <c r="AK13" s="160">
        <v>74400</v>
      </c>
      <c r="AL13" s="160">
        <v>77600</v>
      </c>
      <c r="AM13" s="160">
        <v>77600</v>
      </c>
      <c r="AN13" s="160">
        <v>77600</v>
      </c>
      <c r="AO13" s="160">
        <v>77600</v>
      </c>
      <c r="AP13" s="160">
        <v>77600</v>
      </c>
      <c r="AQ13" s="160">
        <v>77600</v>
      </c>
      <c r="AR13" s="160">
        <v>77600</v>
      </c>
      <c r="AS13" s="160">
        <v>77600</v>
      </c>
      <c r="AT13" s="160">
        <v>77600</v>
      </c>
      <c r="AU13" s="160">
        <v>77600</v>
      </c>
      <c r="AV13" s="160">
        <v>77600</v>
      </c>
      <c r="AW13" s="160">
        <v>77600</v>
      </c>
      <c r="AX13" s="160">
        <v>80800</v>
      </c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</row>
    <row r="14" spans="1:61" x14ac:dyDescent="0.3">
      <c r="A14" s="20" t="s">
        <v>137</v>
      </c>
      <c r="B14" s="160">
        <v>48000</v>
      </c>
      <c r="C14" s="160">
        <v>48000</v>
      </c>
      <c r="D14" s="160">
        <v>48000</v>
      </c>
      <c r="E14" s="160">
        <v>48000</v>
      </c>
      <c r="F14" s="160">
        <v>48000</v>
      </c>
      <c r="G14" s="160">
        <v>48000</v>
      </c>
      <c r="H14" s="160">
        <v>48000</v>
      </c>
      <c r="I14" s="160">
        <v>48000</v>
      </c>
      <c r="J14" s="160">
        <v>48000</v>
      </c>
      <c r="K14" s="160">
        <v>48000</v>
      </c>
      <c r="L14" s="160">
        <v>48000</v>
      </c>
      <c r="M14" s="160">
        <v>48000</v>
      </c>
      <c r="N14" s="160">
        <v>50400</v>
      </c>
      <c r="O14" s="160">
        <v>50400</v>
      </c>
      <c r="P14" s="160">
        <v>50400</v>
      </c>
      <c r="Q14" s="160">
        <v>50400</v>
      </c>
      <c r="R14" s="160">
        <v>50400</v>
      </c>
      <c r="S14" s="160">
        <v>50400</v>
      </c>
      <c r="T14" s="160">
        <v>50400</v>
      </c>
      <c r="U14" s="160">
        <v>50400</v>
      </c>
      <c r="V14" s="160">
        <v>50400</v>
      </c>
      <c r="W14" s="160">
        <v>50400</v>
      </c>
      <c r="X14" s="160">
        <v>50400</v>
      </c>
      <c r="Y14" s="160">
        <v>50400</v>
      </c>
      <c r="Z14" s="160">
        <v>52800</v>
      </c>
      <c r="AA14" s="160">
        <v>52800</v>
      </c>
      <c r="AB14" s="160">
        <v>52800</v>
      </c>
      <c r="AC14" s="160">
        <v>52800</v>
      </c>
      <c r="AD14" s="160">
        <v>52800</v>
      </c>
      <c r="AE14" s="160">
        <v>52800</v>
      </c>
      <c r="AF14" s="160">
        <v>52800</v>
      </c>
      <c r="AG14" s="160">
        <v>52800</v>
      </c>
      <c r="AH14" s="160">
        <v>52800</v>
      </c>
      <c r="AI14" s="160">
        <v>52800</v>
      </c>
      <c r="AJ14" s="160">
        <v>52800</v>
      </c>
      <c r="AK14" s="160">
        <v>52800</v>
      </c>
      <c r="AL14" s="160">
        <v>55200</v>
      </c>
      <c r="AM14" s="160">
        <v>55200</v>
      </c>
      <c r="AN14" s="160">
        <v>55200</v>
      </c>
      <c r="AO14" s="160">
        <v>55200</v>
      </c>
      <c r="AP14" s="160">
        <v>55200</v>
      </c>
      <c r="AQ14" s="160">
        <v>55200</v>
      </c>
      <c r="AR14" s="160">
        <v>55200</v>
      </c>
      <c r="AS14" s="160">
        <v>55200</v>
      </c>
      <c r="AT14" s="160">
        <v>55200</v>
      </c>
      <c r="AU14" s="160">
        <v>55200</v>
      </c>
      <c r="AV14" s="160">
        <v>55200</v>
      </c>
      <c r="AW14" s="160">
        <v>55200</v>
      </c>
      <c r="AX14" s="160">
        <v>57600</v>
      </c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</row>
    <row r="15" spans="1:6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</row>
    <row r="16" spans="1:6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</row>
    <row r="17" spans="1:6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</row>
    <row r="18" spans="1:6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</row>
    <row r="19" spans="1:6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</row>
    <row r="20" spans="1:6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</row>
    <row r="21" spans="1:6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</row>
    <row r="22" spans="1:6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</row>
    <row r="23" spans="1:6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</row>
    <row r="24" spans="1:6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</row>
    <row r="25" spans="1:61" x14ac:dyDescent="0.3">
      <c r="A25" s="8" t="s">
        <v>138</v>
      </c>
      <c r="B25" s="9">
        <f>SUM(B10:B24)</f>
        <v>169327</v>
      </c>
      <c r="C25" s="9">
        <f t="shared" ref="C25:BI25" si="0">SUM(C10:C24)</f>
        <v>172647</v>
      </c>
      <c r="D25" s="9">
        <f t="shared" si="0"/>
        <v>177295</v>
      </c>
      <c r="E25" s="9">
        <f t="shared" si="0"/>
        <v>182607</v>
      </c>
      <c r="F25" s="9">
        <f t="shared" si="0"/>
        <v>187919</v>
      </c>
      <c r="G25" s="9">
        <f t="shared" si="0"/>
        <v>192567</v>
      </c>
      <c r="H25" s="9">
        <f t="shared" si="0"/>
        <v>302957</v>
      </c>
      <c r="I25" s="9">
        <f t="shared" si="0"/>
        <v>309597</v>
      </c>
      <c r="J25" s="9">
        <f t="shared" si="0"/>
        <v>316237</v>
      </c>
      <c r="K25" s="9">
        <f t="shared" si="0"/>
        <v>322877</v>
      </c>
      <c r="L25" s="9">
        <f t="shared" si="0"/>
        <v>329517</v>
      </c>
      <c r="M25" s="9">
        <f t="shared" si="0"/>
        <v>339477</v>
      </c>
      <c r="N25" s="9">
        <f t="shared" si="0"/>
        <v>362350</v>
      </c>
      <c r="O25" s="9">
        <f t="shared" si="0"/>
        <v>376046</v>
      </c>
      <c r="P25" s="9">
        <f t="shared" si="0"/>
        <v>389742</v>
      </c>
      <c r="Q25" s="9">
        <f t="shared" si="0"/>
        <v>403438</v>
      </c>
      <c r="R25" s="9">
        <f t="shared" si="0"/>
        <v>420558</v>
      </c>
      <c r="S25" s="9">
        <f t="shared" si="0"/>
        <v>437678</v>
      </c>
      <c r="T25" s="9">
        <f t="shared" si="0"/>
        <v>454798</v>
      </c>
      <c r="U25" s="9">
        <f t="shared" si="0"/>
        <v>475342</v>
      </c>
      <c r="V25" s="9">
        <f t="shared" si="0"/>
        <v>495886</v>
      </c>
      <c r="W25" s="9">
        <f t="shared" si="0"/>
        <v>516430</v>
      </c>
      <c r="X25" s="9">
        <f t="shared" si="0"/>
        <v>536974</v>
      </c>
      <c r="Y25" s="9">
        <f t="shared" si="0"/>
        <v>564366</v>
      </c>
      <c r="Z25" s="9">
        <f t="shared" si="0"/>
        <v>721888</v>
      </c>
      <c r="AA25" s="9">
        <f t="shared" si="0"/>
        <v>750112</v>
      </c>
      <c r="AB25" s="9">
        <f t="shared" si="0"/>
        <v>781864</v>
      </c>
      <c r="AC25" s="9">
        <f t="shared" si="0"/>
        <v>813616</v>
      </c>
      <c r="AD25" s="9">
        <f t="shared" si="0"/>
        <v>848896</v>
      </c>
      <c r="AE25" s="9">
        <f t="shared" si="0"/>
        <v>884176</v>
      </c>
      <c r="AF25" s="9">
        <f t="shared" si="0"/>
        <v>922984</v>
      </c>
      <c r="AG25" s="9">
        <f t="shared" si="0"/>
        <v>961792</v>
      </c>
      <c r="AH25" s="9">
        <f t="shared" si="0"/>
        <v>1004128</v>
      </c>
      <c r="AI25" s="9">
        <f t="shared" si="0"/>
        <v>1046464</v>
      </c>
      <c r="AJ25" s="9">
        <f t="shared" si="0"/>
        <v>1088800</v>
      </c>
      <c r="AK25" s="9">
        <f t="shared" si="0"/>
        <v>1138192</v>
      </c>
      <c r="AL25" s="9">
        <f t="shared" si="0"/>
        <v>1193184</v>
      </c>
      <c r="AM25" s="9">
        <f t="shared" si="0"/>
        <v>1242576</v>
      </c>
      <c r="AN25" s="9">
        <f t="shared" si="0"/>
        <v>1291968</v>
      </c>
      <c r="AO25" s="9">
        <f t="shared" si="0"/>
        <v>1348416</v>
      </c>
      <c r="AP25" s="9">
        <f t="shared" si="0"/>
        <v>1404864</v>
      </c>
      <c r="AQ25" s="9">
        <f t="shared" si="0"/>
        <v>1461312</v>
      </c>
      <c r="AR25" s="9">
        <f t="shared" si="0"/>
        <v>1517760</v>
      </c>
      <c r="AS25" s="9">
        <f t="shared" si="0"/>
        <v>1574208</v>
      </c>
      <c r="AT25" s="9">
        <f t="shared" si="0"/>
        <v>1630656</v>
      </c>
      <c r="AU25" s="9">
        <f t="shared" si="0"/>
        <v>1694160</v>
      </c>
      <c r="AV25" s="9">
        <f t="shared" si="0"/>
        <v>1757664</v>
      </c>
      <c r="AW25" s="9">
        <f t="shared" si="0"/>
        <v>1828224</v>
      </c>
      <c r="AX25" s="9">
        <f t="shared" si="0"/>
        <v>1904384</v>
      </c>
      <c r="AY25" s="9">
        <f t="shared" si="0"/>
        <v>0</v>
      </c>
      <c r="AZ25" s="9">
        <f t="shared" si="0"/>
        <v>0</v>
      </c>
      <c r="BA25" s="9">
        <f t="shared" si="0"/>
        <v>0</v>
      </c>
      <c r="BB25" s="9">
        <f t="shared" si="0"/>
        <v>0</v>
      </c>
      <c r="BC25" s="9">
        <f t="shared" si="0"/>
        <v>0</v>
      </c>
      <c r="BD25" s="9">
        <f t="shared" si="0"/>
        <v>0</v>
      </c>
      <c r="BE25" s="9">
        <f t="shared" si="0"/>
        <v>0</v>
      </c>
      <c r="BF25" s="9">
        <f t="shared" si="0"/>
        <v>0</v>
      </c>
      <c r="BG25" s="9">
        <f t="shared" si="0"/>
        <v>0</v>
      </c>
      <c r="BH25" s="9">
        <f t="shared" si="0"/>
        <v>0</v>
      </c>
      <c r="BI25" s="9">
        <f t="shared" si="0"/>
        <v>0</v>
      </c>
    </row>
    <row r="28" spans="1:61" x14ac:dyDescent="0.3">
      <c r="A28" s="120" t="s">
        <v>139</v>
      </c>
      <c r="B28" s="103">
        <f>Año1</f>
        <v>2027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>
        <f>Año2</f>
        <v>2028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>
        <f>Año3</f>
        <v>2029</v>
      </c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>
        <f>Año4</f>
        <v>2030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>
        <f>Año5</f>
        <v>2031</v>
      </c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</row>
    <row r="29" spans="1:61" x14ac:dyDescent="0.3">
      <c r="A29" s="120"/>
      <c r="B29" s="54" t="str">
        <f t="shared" ref="B29:AG29" si="1">B9</f>
        <v>Mes 1</v>
      </c>
      <c r="C29" s="54" t="str">
        <f t="shared" si="1"/>
        <v>Mes 2</v>
      </c>
      <c r="D29" s="54" t="str">
        <f t="shared" si="1"/>
        <v>Mes 3</v>
      </c>
      <c r="E29" s="54" t="str">
        <f t="shared" si="1"/>
        <v>Mes 4</v>
      </c>
      <c r="F29" s="54" t="str">
        <f t="shared" si="1"/>
        <v>Mes 5</v>
      </c>
      <c r="G29" s="54" t="str">
        <f t="shared" si="1"/>
        <v>Mes 6</v>
      </c>
      <c r="H29" s="54" t="str">
        <f t="shared" si="1"/>
        <v>Mes 7</v>
      </c>
      <c r="I29" s="54" t="str">
        <f t="shared" si="1"/>
        <v>Mes 8</v>
      </c>
      <c r="J29" s="54" t="str">
        <f t="shared" si="1"/>
        <v>Mes 9</v>
      </c>
      <c r="K29" s="54" t="str">
        <f t="shared" si="1"/>
        <v>Mes 10</v>
      </c>
      <c r="L29" s="54" t="str">
        <f t="shared" si="1"/>
        <v>Mes 11</v>
      </c>
      <c r="M29" s="54" t="str">
        <f t="shared" si="1"/>
        <v>Mes 12</v>
      </c>
      <c r="N29" s="54" t="str">
        <f t="shared" si="1"/>
        <v>Mes 13</v>
      </c>
      <c r="O29" s="54" t="str">
        <f t="shared" si="1"/>
        <v>Mes 14</v>
      </c>
      <c r="P29" s="54" t="str">
        <f t="shared" si="1"/>
        <v>Mes 15</v>
      </c>
      <c r="Q29" s="54" t="str">
        <f t="shared" si="1"/>
        <v>Mes 16</v>
      </c>
      <c r="R29" s="54" t="str">
        <f t="shared" si="1"/>
        <v>Mes 17</v>
      </c>
      <c r="S29" s="54" t="str">
        <f t="shared" si="1"/>
        <v>Mes 18</v>
      </c>
      <c r="T29" s="54" t="str">
        <f t="shared" si="1"/>
        <v>Mes 19</v>
      </c>
      <c r="U29" s="54" t="str">
        <f t="shared" si="1"/>
        <v>Mes 20</v>
      </c>
      <c r="V29" s="54" t="str">
        <f t="shared" si="1"/>
        <v>Mes 21</v>
      </c>
      <c r="W29" s="54" t="str">
        <f t="shared" si="1"/>
        <v>Mes 22</v>
      </c>
      <c r="X29" s="54" t="str">
        <f t="shared" si="1"/>
        <v>Mes 23</v>
      </c>
      <c r="Y29" s="54" t="str">
        <f t="shared" si="1"/>
        <v>Mes 24</v>
      </c>
      <c r="Z29" s="54" t="str">
        <f t="shared" si="1"/>
        <v>Mes 25</v>
      </c>
      <c r="AA29" s="54" t="str">
        <f t="shared" si="1"/>
        <v>Mes 26</v>
      </c>
      <c r="AB29" s="54" t="str">
        <f t="shared" si="1"/>
        <v>Mes 27</v>
      </c>
      <c r="AC29" s="54" t="str">
        <f t="shared" si="1"/>
        <v>Mes 28</v>
      </c>
      <c r="AD29" s="54" t="str">
        <f t="shared" si="1"/>
        <v>Mes 29</v>
      </c>
      <c r="AE29" s="54" t="str">
        <f t="shared" si="1"/>
        <v>Mes 30</v>
      </c>
      <c r="AF29" s="54" t="str">
        <f t="shared" si="1"/>
        <v>Mes 31</v>
      </c>
      <c r="AG29" s="54" t="str">
        <f t="shared" si="1"/>
        <v>Mes 32</v>
      </c>
      <c r="AH29" s="54" t="str">
        <f t="shared" ref="AH29:BI29" si="2">AH9</f>
        <v>Mes 33</v>
      </c>
      <c r="AI29" s="54" t="str">
        <f t="shared" si="2"/>
        <v>Mes 34</v>
      </c>
      <c r="AJ29" s="54" t="str">
        <f t="shared" si="2"/>
        <v>Mes 35</v>
      </c>
      <c r="AK29" s="54" t="str">
        <f t="shared" si="2"/>
        <v>Mes 36</v>
      </c>
      <c r="AL29" s="54" t="str">
        <f t="shared" si="2"/>
        <v>Mes 37</v>
      </c>
      <c r="AM29" s="54" t="str">
        <f t="shared" si="2"/>
        <v>Mes 38</v>
      </c>
      <c r="AN29" s="54" t="str">
        <f t="shared" si="2"/>
        <v>Mes 39</v>
      </c>
      <c r="AO29" s="54" t="str">
        <f t="shared" si="2"/>
        <v>Mes 40</v>
      </c>
      <c r="AP29" s="54" t="str">
        <f t="shared" si="2"/>
        <v>Mes 41</v>
      </c>
      <c r="AQ29" s="54" t="str">
        <f t="shared" si="2"/>
        <v>Mes 42</v>
      </c>
      <c r="AR29" s="54" t="str">
        <f t="shared" si="2"/>
        <v>Mes 43</v>
      </c>
      <c r="AS29" s="54" t="str">
        <f t="shared" si="2"/>
        <v>Mes 44</v>
      </c>
      <c r="AT29" s="54" t="str">
        <f t="shared" si="2"/>
        <v>Mes 45</v>
      </c>
      <c r="AU29" s="54" t="str">
        <f t="shared" si="2"/>
        <v>Mes 46</v>
      </c>
      <c r="AV29" s="54" t="str">
        <f t="shared" si="2"/>
        <v>Mes 47</v>
      </c>
      <c r="AW29" s="54" t="str">
        <f t="shared" si="2"/>
        <v>Mes 48</v>
      </c>
      <c r="AX29" s="54" t="str">
        <f t="shared" si="2"/>
        <v>Mes 49</v>
      </c>
      <c r="AY29" s="54" t="str">
        <f t="shared" si="2"/>
        <v>Mes 50</v>
      </c>
      <c r="AZ29" s="54" t="str">
        <f t="shared" si="2"/>
        <v>Mes 51</v>
      </c>
      <c r="BA29" s="54" t="str">
        <f t="shared" si="2"/>
        <v>Mes 52</v>
      </c>
      <c r="BB29" s="54" t="str">
        <f t="shared" si="2"/>
        <v>Mes 53</v>
      </c>
      <c r="BC29" s="54" t="str">
        <f t="shared" si="2"/>
        <v>Mes 54</v>
      </c>
      <c r="BD29" s="54" t="str">
        <f t="shared" si="2"/>
        <v>Mes 55</v>
      </c>
      <c r="BE29" s="54" t="str">
        <f t="shared" si="2"/>
        <v>Mes 56</v>
      </c>
      <c r="BF29" s="54" t="str">
        <f t="shared" si="2"/>
        <v>Mes 57</v>
      </c>
      <c r="BG29" s="54" t="str">
        <f t="shared" si="2"/>
        <v>Mes 58</v>
      </c>
      <c r="BH29" s="54" t="str">
        <f t="shared" si="2"/>
        <v>Mes 59</v>
      </c>
      <c r="BI29" s="54" t="str">
        <f t="shared" si="2"/>
        <v>Mes 60</v>
      </c>
    </row>
    <row r="30" spans="1:61" s="3" customFormat="1" x14ac:dyDescent="0.3">
      <c r="A30" s="10" t="s">
        <v>140</v>
      </c>
      <c r="B30" s="10" t="s">
        <v>141</v>
      </c>
      <c r="C30" s="10" t="s">
        <v>141</v>
      </c>
      <c r="D30" s="10" t="s">
        <v>141</v>
      </c>
      <c r="E30" s="10" t="s">
        <v>141</v>
      </c>
      <c r="F30" s="10" t="s">
        <v>141</v>
      </c>
      <c r="G30" s="10" t="s">
        <v>141</v>
      </c>
      <c r="H30" s="10" t="s">
        <v>141</v>
      </c>
      <c r="I30" s="10" t="s">
        <v>141</v>
      </c>
      <c r="J30" s="10" t="s">
        <v>141</v>
      </c>
      <c r="K30" s="10" t="s">
        <v>141</v>
      </c>
      <c r="L30" s="10" t="s">
        <v>141</v>
      </c>
      <c r="M30" s="10" t="s">
        <v>141</v>
      </c>
      <c r="N30" s="10" t="s">
        <v>141</v>
      </c>
      <c r="O30" s="10" t="s">
        <v>141</v>
      </c>
      <c r="P30" s="10" t="s">
        <v>141</v>
      </c>
      <c r="Q30" s="10" t="s">
        <v>141</v>
      </c>
      <c r="R30" s="10" t="s">
        <v>141</v>
      </c>
      <c r="S30" s="10" t="s">
        <v>141</v>
      </c>
      <c r="T30" s="10" t="s">
        <v>141</v>
      </c>
      <c r="U30" s="10" t="s">
        <v>141</v>
      </c>
      <c r="V30" s="10" t="s">
        <v>141</v>
      </c>
      <c r="W30" s="10" t="s">
        <v>141</v>
      </c>
      <c r="X30" s="10" t="s">
        <v>141</v>
      </c>
      <c r="Y30" s="10" t="s">
        <v>141</v>
      </c>
      <c r="Z30" s="10" t="s">
        <v>141</v>
      </c>
      <c r="AA30" s="10" t="s">
        <v>141</v>
      </c>
      <c r="AB30" s="10" t="s">
        <v>141</v>
      </c>
      <c r="AC30" s="10" t="s">
        <v>141</v>
      </c>
      <c r="AD30" s="10" t="s">
        <v>141</v>
      </c>
      <c r="AE30" s="10" t="s">
        <v>141</v>
      </c>
      <c r="AF30" s="10" t="s">
        <v>141</v>
      </c>
      <c r="AG30" s="10" t="s">
        <v>141</v>
      </c>
      <c r="AH30" s="10" t="s">
        <v>141</v>
      </c>
      <c r="AI30" s="10" t="s">
        <v>141</v>
      </c>
      <c r="AJ30" s="10" t="s">
        <v>141</v>
      </c>
      <c r="AK30" s="10" t="s">
        <v>141</v>
      </c>
      <c r="AL30" s="10" t="s">
        <v>141</v>
      </c>
      <c r="AM30" s="10" t="s">
        <v>141</v>
      </c>
      <c r="AN30" s="10" t="s">
        <v>141</v>
      </c>
      <c r="AO30" s="10" t="s">
        <v>141</v>
      </c>
      <c r="AP30" s="10" t="s">
        <v>141</v>
      </c>
      <c r="AQ30" s="10" t="s">
        <v>141</v>
      </c>
      <c r="AR30" s="10" t="s">
        <v>141</v>
      </c>
      <c r="AS30" s="10" t="s">
        <v>141</v>
      </c>
      <c r="AT30" s="10" t="s">
        <v>141</v>
      </c>
      <c r="AU30" s="10" t="s">
        <v>141</v>
      </c>
      <c r="AV30" s="10" t="s">
        <v>141</v>
      </c>
      <c r="AW30" s="10" t="s">
        <v>141</v>
      </c>
      <c r="AX30" s="10" t="s">
        <v>141</v>
      </c>
      <c r="AY30" s="10" t="s">
        <v>141</v>
      </c>
      <c r="AZ30" s="10" t="s">
        <v>141</v>
      </c>
      <c r="BA30" s="10" t="s">
        <v>141</v>
      </c>
      <c r="BB30" s="10" t="s">
        <v>141</v>
      </c>
      <c r="BC30" s="10" t="s">
        <v>141</v>
      </c>
      <c r="BD30" s="10" t="s">
        <v>141</v>
      </c>
      <c r="BE30" s="10" t="s">
        <v>141</v>
      </c>
      <c r="BF30" s="10" t="s">
        <v>141</v>
      </c>
      <c r="BG30" s="10" t="s">
        <v>141</v>
      </c>
      <c r="BH30" s="10" t="s">
        <v>141</v>
      </c>
      <c r="BI30" s="10" t="s">
        <v>141</v>
      </c>
    </row>
    <row r="31" spans="1:61" x14ac:dyDescent="0.3">
      <c r="A31" s="163" t="s">
        <v>142</v>
      </c>
      <c r="B31" s="160">
        <v>3500000</v>
      </c>
      <c r="C31" s="160">
        <v>3500000</v>
      </c>
      <c r="D31" s="160">
        <v>3500000</v>
      </c>
      <c r="E31" s="160">
        <v>3500000</v>
      </c>
      <c r="F31" s="160">
        <v>3500000</v>
      </c>
      <c r="G31" s="160">
        <v>3500000</v>
      </c>
      <c r="H31" s="160">
        <v>3500000</v>
      </c>
      <c r="I31" s="160">
        <v>3500000</v>
      </c>
      <c r="J31" s="160">
        <v>3500000</v>
      </c>
      <c r="K31" s="160">
        <v>3500000</v>
      </c>
      <c r="L31" s="160">
        <v>3500000</v>
      </c>
      <c r="M31" s="160">
        <v>3500000</v>
      </c>
      <c r="N31" s="160">
        <v>3700000</v>
      </c>
      <c r="O31" s="160">
        <v>3700000</v>
      </c>
      <c r="P31" s="160">
        <v>3700000</v>
      </c>
      <c r="Q31" s="160">
        <v>3700000</v>
      </c>
      <c r="R31" s="160">
        <v>3700000</v>
      </c>
      <c r="S31" s="160">
        <v>3700000</v>
      </c>
      <c r="T31" s="160">
        <v>3700000</v>
      </c>
      <c r="U31" s="160">
        <v>3700000</v>
      </c>
      <c r="V31" s="160">
        <v>3700000</v>
      </c>
      <c r="W31" s="160">
        <v>3700000</v>
      </c>
      <c r="X31" s="160">
        <v>3700000</v>
      </c>
      <c r="Y31" s="160">
        <v>3700000</v>
      </c>
      <c r="Z31" s="160">
        <v>3900000</v>
      </c>
      <c r="AA31" s="160">
        <v>3900000</v>
      </c>
      <c r="AB31" s="160">
        <v>3900000</v>
      </c>
      <c r="AC31" s="160">
        <v>3900000</v>
      </c>
      <c r="AD31" s="160">
        <v>3900000</v>
      </c>
      <c r="AE31" s="160">
        <v>3900000</v>
      </c>
      <c r="AF31" s="160">
        <v>3900000</v>
      </c>
      <c r="AG31" s="160">
        <v>3900000</v>
      </c>
      <c r="AH31" s="160">
        <v>3900000</v>
      </c>
      <c r="AI31" s="160">
        <v>3900000</v>
      </c>
      <c r="AJ31" s="160">
        <v>3900000</v>
      </c>
      <c r="AK31" s="160">
        <v>3900000</v>
      </c>
      <c r="AL31" s="160">
        <v>4100000</v>
      </c>
      <c r="AM31" s="160">
        <v>4100000</v>
      </c>
      <c r="AN31" s="160">
        <v>4100000</v>
      </c>
      <c r="AO31" s="160">
        <v>4100000</v>
      </c>
      <c r="AP31" s="160">
        <v>4100000</v>
      </c>
      <c r="AQ31" s="160">
        <v>4100000</v>
      </c>
      <c r="AR31" s="160">
        <v>4100000</v>
      </c>
      <c r="AS31" s="160">
        <v>4100000</v>
      </c>
      <c r="AT31" s="160">
        <v>4100000</v>
      </c>
      <c r="AU31" s="160">
        <v>4100000</v>
      </c>
      <c r="AV31" s="160">
        <v>4100000</v>
      </c>
      <c r="AW31" s="160">
        <v>4100000</v>
      </c>
      <c r="AX31" s="160">
        <v>4100000</v>
      </c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</row>
    <row r="32" spans="1:61" x14ac:dyDescent="0.3">
      <c r="A32" s="163" t="s">
        <v>302</v>
      </c>
      <c r="B32" s="162">
        <v>0</v>
      </c>
      <c r="C32" s="160">
        <v>0</v>
      </c>
      <c r="D32" s="160">
        <v>0</v>
      </c>
      <c r="E32" s="160">
        <v>0</v>
      </c>
      <c r="F32" s="160">
        <v>0</v>
      </c>
      <c r="G32" s="160">
        <v>0</v>
      </c>
      <c r="H32" s="160">
        <v>0</v>
      </c>
      <c r="I32" s="160">
        <v>0</v>
      </c>
      <c r="J32" s="160">
        <v>0</v>
      </c>
      <c r="K32" s="160">
        <v>0</v>
      </c>
      <c r="L32" s="160">
        <v>0</v>
      </c>
      <c r="M32" s="160">
        <v>0</v>
      </c>
      <c r="N32" s="160">
        <v>3700000</v>
      </c>
      <c r="O32" s="160">
        <v>3700000</v>
      </c>
      <c r="P32" s="160">
        <v>3700000</v>
      </c>
      <c r="Q32" s="160">
        <v>3700000</v>
      </c>
      <c r="R32" s="160">
        <v>3700000</v>
      </c>
      <c r="S32" s="160">
        <v>3700000</v>
      </c>
      <c r="T32" s="160">
        <v>3700000</v>
      </c>
      <c r="U32" s="160">
        <v>3700000</v>
      </c>
      <c r="V32" s="160">
        <v>3700000</v>
      </c>
      <c r="W32" s="160">
        <v>3700000</v>
      </c>
      <c r="X32" s="160">
        <v>3700000</v>
      </c>
      <c r="Y32" s="160">
        <v>3700000</v>
      </c>
      <c r="Z32" s="160">
        <v>3900000</v>
      </c>
      <c r="AA32" s="160">
        <v>3900000</v>
      </c>
      <c r="AB32" s="160">
        <v>3900000</v>
      </c>
      <c r="AC32" s="160">
        <v>3900000</v>
      </c>
      <c r="AD32" s="160">
        <v>3900000</v>
      </c>
      <c r="AE32" s="160">
        <v>3900000</v>
      </c>
      <c r="AF32" s="160">
        <v>3900000</v>
      </c>
      <c r="AG32" s="160">
        <v>3900000</v>
      </c>
      <c r="AH32" s="160">
        <v>3900000</v>
      </c>
      <c r="AI32" s="160">
        <v>3900000</v>
      </c>
      <c r="AJ32" s="160">
        <v>3900000</v>
      </c>
      <c r="AK32" s="160">
        <v>3900000</v>
      </c>
      <c r="AL32" s="160">
        <v>4100000</v>
      </c>
      <c r="AM32" s="160">
        <v>4100000</v>
      </c>
      <c r="AN32" s="160">
        <v>4100000</v>
      </c>
      <c r="AO32" s="160">
        <v>4100000</v>
      </c>
      <c r="AP32" s="160">
        <v>4100000</v>
      </c>
      <c r="AQ32" s="160">
        <v>4100000</v>
      </c>
      <c r="AR32" s="160">
        <v>4100000</v>
      </c>
      <c r="AS32" s="160">
        <v>4100000</v>
      </c>
      <c r="AT32" s="160">
        <v>4100000</v>
      </c>
      <c r="AU32" s="160">
        <v>4100000</v>
      </c>
      <c r="AV32" s="160">
        <v>4100000</v>
      </c>
      <c r="AW32" s="160">
        <v>4100000</v>
      </c>
      <c r="AX32" s="160">
        <v>4100000</v>
      </c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</row>
    <row r="33" spans="1:61" x14ac:dyDescent="0.3">
      <c r="A33" s="163" t="s">
        <v>303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>
        <v>0</v>
      </c>
      <c r="M33" s="160">
        <v>0</v>
      </c>
      <c r="N33" s="160">
        <v>0</v>
      </c>
      <c r="O33" s="160">
        <v>0</v>
      </c>
      <c r="P33" s="160">
        <v>0</v>
      </c>
      <c r="Q33" s="160">
        <v>0</v>
      </c>
      <c r="R33" s="160">
        <v>0</v>
      </c>
      <c r="S33" s="160">
        <v>0</v>
      </c>
      <c r="T33" s="160">
        <v>0</v>
      </c>
      <c r="U33" s="160">
        <v>0</v>
      </c>
      <c r="V33" s="160">
        <v>0</v>
      </c>
      <c r="W33" s="160">
        <v>0</v>
      </c>
      <c r="X33" s="160">
        <v>0</v>
      </c>
      <c r="Y33" s="160">
        <v>0</v>
      </c>
      <c r="Z33" s="160">
        <v>5500000</v>
      </c>
      <c r="AA33" s="160">
        <v>5500000</v>
      </c>
      <c r="AB33" s="160">
        <v>5500000</v>
      </c>
      <c r="AC33" s="160">
        <v>5500000</v>
      </c>
      <c r="AD33" s="160">
        <v>5500000</v>
      </c>
      <c r="AE33" s="160">
        <v>5500000</v>
      </c>
      <c r="AF33" s="160">
        <v>5500000</v>
      </c>
      <c r="AG33" s="160">
        <v>5500000</v>
      </c>
      <c r="AH33" s="160">
        <v>5500000</v>
      </c>
      <c r="AI33" s="160">
        <v>5500000</v>
      </c>
      <c r="AJ33" s="160">
        <v>5500000</v>
      </c>
      <c r="AK33" s="160">
        <v>5500000</v>
      </c>
      <c r="AL33" s="160">
        <v>5800000</v>
      </c>
      <c r="AM33" s="160">
        <v>5800000</v>
      </c>
      <c r="AN33" s="160">
        <v>5800000</v>
      </c>
      <c r="AO33" s="160">
        <v>5800000</v>
      </c>
      <c r="AP33" s="160">
        <v>5800000</v>
      </c>
      <c r="AQ33" s="160">
        <v>5800000</v>
      </c>
      <c r="AR33" s="160">
        <v>5800000</v>
      </c>
      <c r="AS33" s="160">
        <v>5800000</v>
      </c>
      <c r="AT33" s="160">
        <v>5800000</v>
      </c>
      <c r="AU33" s="160">
        <v>5800000</v>
      </c>
      <c r="AV33" s="160">
        <v>5800000</v>
      </c>
      <c r="AW33" s="160">
        <v>5800000</v>
      </c>
      <c r="AX33" s="160">
        <v>5800000</v>
      </c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</row>
    <row r="34" spans="1:61" x14ac:dyDescent="0.3">
      <c r="A34" s="163" t="s">
        <v>304</v>
      </c>
      <c r="B34" s="160">
        <v>0</v>
      </c>
      <c r="C34" s="160">
        <v>0</v>
      </c>
      <c r="D34" s="160">
        <v>0</v>
      </c>
      <c r="E34" s="160">
        <v>0</v>
      </c>
      <c r="F34" s="160">
        <v>0</v>
      </c>
      <c r="G34" s="160">
        <v>0</v>
      </c>
      <c r="H34" s="160">
        <v>0</v>
      </c>
      <c r="I34" s="160">
        <v>0</v>
      </c>
      <c r="J34" s="160">
        <v>0</v>
      </c>
      <c r="K34" s="160">
        <v>0</v>
      </c>
      <c r="L34" s="160">
        <v>0</v>
      </c>
      <c r="M34" s="160">
        <v>0</v>
      </c>
      <c r="N34" s="160">
        <v>0</v>
      </c>
      <c r="O34" s="160">
        <v>0</v>
      </c>
      <c r="P34" s="160">
        <v>0</v>
      </c>
      <c r="Q34" s="160">
        <v>0</v>
      </c>
      <c r="R34" s="160">
        <v>0</v>
      </c>
      <c r="S34" s="160">
        <v>0</v>
      </c>
      <c r="T34" s="160">
        <v>0</v>
      </c>
      <c r="U34" s="160">
        <v>0</v>
      </c>
      <c r="V34" s="160">
        <v>0</v>
      </c>
      <c r="W34" s="160">
        <v>0</v>
      </c>
      <c r="X34" s="160">
        <v>0</v>
      </c>
      <c r="Y34" s="160">
        <v>0</v>
      </c>
      <c r="Z34" s="160">
        <v>0</v>
      </c>
      <c r="AA34" s="160">
        <v>0</v>
      </c>
      <c r="AB34" s="160">
        <v>0</v>
      </c>
      <c r="AC34" s="160">
        <v>0</v>
      </c>
      <c r="AD34" s="160">
        <v>0</v>
      </c>
      <c r="AE34" s="160">
        <v>0</v>
      </c>
      <c r="AF34" s="160">
        <v>0</v>
      </c>
      <c r="AG34" s="160">
        <v>0</v>
      </c>
      <c r="AH34" s="160">
        <v>0</v>
      </c>
      <c r="AI34" s="160">
        <v>0</v>
      </c>
      <c r="AJ34" s="160">
        <v>0</v>
      </c>
      <c r="AK34" s="160">
        <v>0</v>
      </c>
      <c r="AL34" s="160">
        <v>7500000</v>
      </c>
      <c r="AM34" s="160">
        <v>7500000</v>
      </c>
      <c r="AN34" s="160">
        <v>7500000</v>
      </c>
      <c r="AO34" s="160">
        <v>7500000</v>
      </c>
      <c r="AP34" s="160">
        <v>7500000</v>
      </c>
      <c r="AQ34" s="160">
        <v>7500000</v>
      </c>
      <c r="AR34" s="160">
        <v>7500000</v>
      </c>
      <c r="AS34" s="160">
        <v>7500000</v>
      </c>
      <c r="AT34" s="160">
        <v>7500000</v>
      </c>
      <c r="AU34" s="160">
        <v>7500000</v>
      </c>
      <c r="AV34" s="160">
        <v>7500000</v>
      </c>
      <c r="AW34" s="160">
        <v>7500000</v>
      </c>
      <c r="AX34" s="160">
        <v>7500000</v>
      </c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</row>
    <row r="35" spans="1:61" x14ac:dyDescent="0.3">
      <c r="A35" s="1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</row>
    <row r="36" spans="1:61" x14ac:dyDescent="0.3">
      <c r="A36" s="1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</row>
    <row r="37" spans="1:61" x14ac:dyDescent="0.3">
      <c r="A37" s="1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</row>
    <row r="38" spans="1:61" x14ac:dyDescent="0.3">
      <c r="A38" s="1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</row>
    <row r="39" spans="1:61" x14ac:dyDescent="0.3">
      <c r="A39" s="1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</row>
    <row r="40" spans="1:61" x14ac:dyDescent="0.3">
      <c r="A40" s="1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</row>
    <row r="41" spans="1:61" x14ac:dyDescent="0.3">
      <c r="A41" s="1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</row>
    <row r="42" spans="1:61" x14ac:dyDescent="0.3">
      <c r="A42" s="1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</row>
    <row r="43" spans="1:61" x14ac:dyDescent="0.3">
      <c r="A43" s="1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</row>
    <row r="44" spans="1:61" x14ac:dyDescent="0.3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</row>
    <row r="45" spans="1:61" x14ac:dyDescent="0.3">
      <c r="A45" s="1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</row>
    <row r="46" spans="1:61" x14ac:dyDescent="0.3">
      <c r="A46" s="1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</row>
    <row r="47" spans="1:61" x14ac:dyDescent="0.3">
      <c r="A47" s="8" t="s">
        <v>143</v>
      </c>
      <c r="B47" s="9">
        <f t="shared" ref="B47:AG47" si="3">SUM(B31:B46)</f>
        <v>3500000</v>
      </c>
      <c r="C47" s="9">
        <f t="shared" si="3"/>
        <v>3500000</v>
      </c>
      <c r="D47" s="9">
        <f t="shared" si="3"/>
        <v>3500000</v>
      </c>
      <c r="E47" s="9">
        <f t="shared" si="3"/>
        <v>3500000</v>
      </c>
      <c r="F47" s="9">
        <f t="shared" si="3"/>
        <v>3500000</v>
      </c>
      <c r="G47" s="9">
        <f t="shared" si="3"/>
        <v>3500000</v>
      </c>
      <c r="H47" s="9">
        <f t="shared" si="3"/>
        <v>3500000</v>
      </c>
      <c r="I47" s="9">
        <f t="shared" si="3"/>
        <v>3500000</v>
      </c>
      <c r="J47" s="9">
        <f t="shared" si="3"/>
        <v>3500000</v>
      </c>
      <c r="K47" s="9">
        <f t="shared" si="3"/>
        <v>3500000</v>
      </c>
      <c r="L47" s="9">
        <f t="shared" si="3"/>
        <v>3500000</v>
      </c>
      <c r="M47" s="9">
        <f t="shared" si="3"/>
        <v>3500000</v>
      </c>
      <c r="N47" s="9">
        <f t="shared" si="3"/>
        <v>7400000</v>
      </c>
      <c r="O47" s="9">
        <f t="shared" si="3"/>
        <v>7400000</v>
      </c>
      <c r="P47" s="9">
        <f t="shared" si="3"/>
        <v>7400000</v>
      </c>
      <c r="Q47" s="9">
        <f t="shared" si="3"/>
        <v>7400000</v>
      </c>
      <c r="R47" s="9">
        <f t="shared" si="3"/>
        <v>7400000</v>
      </c>
      <c r="S47" s="9">
        <f t="shared" si="3"/>
        <v>7400000</v>
      </c>
      <c r="T47" s="9">
        <f t="shared" si="3"/>
        <v>7400000</v>
      </c>
      <c r="U47" s="9">
        <f t="shared" si="3"/>
        <v>7400000</v>
      </c>
      <c r="V47" s="9">
        <f t="shared" si="3"/>
        <v>7400000</v>
      </c>
      <c r="W47" s="9">
        <f t="shared" si="3"/>
        <v>7400000</v>
      </c>
      <c r="X47" s="9">
        <f t="shared" si="3"/>
        <v>7400000</v>
      </c>
      <c r="Y47" s="9">
        <f t="shared" si="3"/>
        <v>7400000</v>
      </c>
      <c r="Z47" s="9">
        <f t="shared" si="3"/>
        <v>13300000</v>
      </c>
      <c r="AA47" s="9">
        <f t="shared" si="3"/>
        <v>13300000</v>
      </c>
      <c r="AB47" s="9">
        <f t="shared" si="3"/>
        <v>13300000</v>
      </c>
      <c r="AC47" s="9">
        <f t="shared" si="3"/>
        <v>13300000</v>
      </c>
      <c r="AD47" s="9">
        <f t="shared" si="3"/>
        <v>13300000</v>
      </c>
      <c r="AE47" s="9">
        <f t="shared" si="3"/>
        <v>13300000</v>
      </c>
      <c r="AF47" s="9">
        <f t="shared" si="3"/>
        <v>13300000</v>
      </c>
      <c r="AG47" s="9">
        <f t="shared" si="3"/>
        <v>13300000</v>
      </c>
      <c r="AH47" s="9">
        <f t="shared" ref="AH47:BI47" si="4">SUM(AH31:AH46)</f>
        <v>13300000</v>
      </c>
      <c r="AI47" s="9">
        <f t="shared" si="4"/>
        <v>13300000</v>
      </c>
      <c r="AJ47" s="9">
        <f t="shared" si="4"/>
        <v>13300000</v>
      </c>
      <c r="AK47" s="9">
        <f t="shared" si="4"/>
        <v>13300000</v>
      </c>
      <c r="AL47" s="9">
        <f t="shared" si="4"/>
        <v>21500000</v>
      </c>
      <c r="AM47" s="9">
        <f t="shared" si="4"/>
        <v>21500000</v>
      </c>
      <c r="AN47" s="9">
        <f t="shared" si="4"/>
        <v>21500000</v>
      </c>
      <c r="AO47" s="9">
        <f t="shared" si="4"/>
        <v>21500000</v>
      </c>
      <c r="AP47" s="9">
        <f t="shared" si="4"/>
        <v>21500000</v>
      </c>
      <c r="AQ47" s="9">
        <f t="shared" si="4"/>
        <v>21500000</v>
      </c>
      <c r="AR47" s="9">
        <f t="shared" si="4"/>
        <v>21500000</v>
      </c>
      <c r="AS47" s="9">
        <f t="shared" si="4"/>
        <v>21500000</v>
      </c>
      <c r="AT47" s="9">
        <f t="shared" si="4"/>
        <v>21500000</v>
      </c>
      <c r="AU47" s="9">
        <f t="shared" si="4"/>
        <v>21500000</v>
      </c>
      <c r="AV47" s="9">
        <f t="shared" si="4"/>
        <v>21500000</v>
      </c>
      <c r="AW47" s="9">
        <f t="shared" si="4"/>
        <v>21500000</v>
      </c>
      <c r="AX47" s="9">
        <f t="shared" si="4"/>
        <v>21500000</v>
      </c>
      <c r="AY47" s="9">
        <f t="shared" si="4"/>
        <v>0</v>
      </c>
      <c r="AZ47" s="9">
        <f t="shared" si="4"/>
        <v>0</v>
      </c>
      <c r="BA47" s="9">
        <f t="shared" si="4"/>
        <v>0</v>
      </c>
      <c r="BB47" s="9">
        <f t="shared" si="4"/>
        <v>0</v>
      </c>
      <c r="BC47" s="9">
        <f t="shared" si="4"/>
        <v>0</v>
      </c>
      <c r="BD47" s="9">
        <f t="shared" si="4"/>
        <v>0</v>
      </c>
      <c r="BE47" s="9">
        <f t="shared" si="4"/>
        <v>0</v>
      </c>
      <c r="BF47" s="9">
        <f t="shared" si="4"/>
        <v>0</v>
      </c>
      <c r="BG47" s="9">
        <f t="shared" si="4"/>
        <v>0</v>
      </c>
      <c r="BH47" s="9">
        <f t="shared" si="4"/>
        <v>0</v>
      </c>
      <c r="BI47" s="9">
        <f t="shared" si="4"/>
        <v>0</v>
      </c>
    </row>
    <row r="48" spans="1:61" x14ac:dyDescent="0.3">
      <c r="A48" s="2" t="s">
        <v>144</v>
      </c>
      <c r="B48" s="37">
        <f>IF(B31=0,0,IF(B31&lt;INICIO!$B$32*2,INICIO!$B$33,0))+IF(B32=0,0,IF(B32&lt;INICIO!$B$32*2,INICIO!$B$33,0))+IF(B33=0,0,IF(B33&lt;INICIO!$B$32*2,INICIO!$B$33,0))+IF(B34=0,0,IF(B34&lt;INICIO!$B$32*2,INICIO!$B$33,0))+IF(B35=0,0,IF(B35&lt;INICIO!$B$32*2,INICIO!$B$33,0))+IF(B36=0,0,IF(B36&lt;INICIO!$B$32*2,INICIO!$B$33,0))+IF(B37=0,0,IF(B37&lt;INICIO!$B$32*2,INICIO!$B$33,0))+IF(B38=0,0,IF(B38&lt;INICIO!$B$32*2,INICIO!$B$33,0))+IF(B39=0,0,IF(B39&lt;INICIO!$B$32*2,INICIO!$B$33,0))+IF(B40=0,0,IF(B40&lt;INICIO!$B$32*2,INICIO!$B$33,0))+IF(B41=0,0,IF(B41&lt;INICIO!$B$32*2,INICIO!$B$33,0))+IF(B42=0,0,IF(B42&lt;INICIO!$B$32*2,INICIO!$B$33,0))+IF(B43=0,0,IF(B43&lt;INICIO!$B$32*2,INICIO!$B$33,0))+IF(B44=0,0,IF(B44&lt;INICIO!$B$32*2,INICIO!$B$33,0))+IF(B45=0,0,IF(B45&lt;INICIO!$B$32*2,INICIO!$B$33,0))+IF(B46=0,0,IF(B46&lt;INICIO!$B$32*2,INICIO!$B$33,0))</f>
        <v>268000</v>
      </c>
      <c r="C48" s="37">
        <f>IF(C31=0,0,IF(C31&lt;INICIO!$B$32*2,INICIO!$B$33,0))+IF(C32=0,0,IF(C32&lt;INICIO!$B$32*2,INICIO!$B$33,0))+IF(C33=0,0,IF(C33&lt;INICIO!$B$32*2,INICIO!$B$33,0))+IF(C34=0,0,IF(C34&lt;INICIO!$B$32*2,INICIO!$B$33,0))+IF(C35=0,0,IF(C35&lt;INICIO!$B$32*2,INICIO!$B$33,0))+IF(C36=0,0,IF(C36&lt;INICIO!$B$32*2,INICIO!$B$33,0))+IF(C37=0,0,IF(C37&lt;INICIO!$B$32*2,INICIO!$B$33,0))+IF(C38=0,0,IF(C38&lt;INICIO!$B$32*2,INICIO!$B$33,0))+IF(C39=0,0,IF(C39&lt;INICIO!$B$32*2,INICIO!$B$33,0))+IF(C40=0,0,IF(C40&lt;INICIO!$B$32*2,INICIO!$B$33,0))+IF(C41=0,0,IF(C41&lt;INICIO!$B$32*2,INICIO!$B$33,0))+IF(C42=0,0,IF(C42&lt;INICIO!$B$32*2,INICIO!$B$33,0))+IF(C43=0,0,IF(C43&lt;INICIO!$B$32*2,INICIO!$B$33,0))+IF(C44=0,0,IF(C44&lt;INICIO!$B$32*2,INICIO!$B$33,0))+IF(C45=0,0,IF(C45&lt;INICIO!$B$32*2,INICIO!$B$33,0))+IF(C46=0,0,IF(C46&lt;INICIO!$B$32*2,INICIO!$B$33,0))</f>
        <v>268000</v>
      </c>
      <c r="D48" s="37">
        <f>IF(D31=0,0,IF(D31&lt;INICIO!$B$32*2,INICIO!$B$33,0))+IF(D32=0,0,IF(D32&lt;INICIO!$B$32*2,INICIO!$B$33,0))+IF(D33=0,0,IF(D33&lt;INICIO!$B$32*2,INICIO!$B$33,0))+IF(D34=0,0,IF(D34&lt;INICIO!$B$32*2,INICIO!$B$33,0))+IF(D35=0,0,IF(D35&lt;INICIO!$B$32*2,INICIO!$B$33,0))+IF(D36=0,0,IF(D36&lt;INICIO!$B$32*2,INICIO!$B$33,0))+IF(D37=0,0,IF(D37&lt;INICIO!$B$32*2,INICIO!$B$33,0))+IF(D38=0,0,IF(D38&lt;INICIO!$B$32*2,INICIO!$B$33,0))+IF(D39=0,0,IF(D39&lt;INICIO!$B$32*2,INICIO!$B$33,0))+IF(D40=0,0,IF(D40&lt;INICIO!$B$32*2,INICIO!$B$33,0))+IF(D41=0,0,IF(D41&lt;INICIO!$B$32*2,INICIO!$B$33,0))+IF(D42=0,0,IF(D42&lt;INICIO!$B$32*2,INICIO!$B$33,0))+IF(D43=0,0,IF(D43&lt;INICIO!$B$32*2,INICIO!$B$33,0))+IF(D44=0,0,IF(D44&lt;INICIO!$B$32*2,INICIO!$B$33,0))+IF(D45=0,0,IF(D45&lt;INICIO!$B$32*2,INICIO!$B$33,0))+IF(D46=0,0,IF(D46&lt;INICIO!$B$32*2,INICIO!$B$33,0))</f>
        <v>268000</v>
      </c>
      <c r="E48" s="37">
        <f>IF(E31=0,0,IF(E31&lt;INICIO!$B$32*2,INICIO!$B$33,0))+IF(E32=0,0,IF(E32&lt;INICIO!$B$32*2,INICIO!$B$33,0))+IF(E33=0,0,IF(E33&lt;INICIO!$B$32*2,INICIO!$B$33,0))+IF(E34=0,0,IF(E34&lt;INICIO!$B$32*2,INICIO!$B$33,0))+IF(E35=0,0,IF(E35&lt;INICIO!$B$32*2,INICIO!$B$33,0))+IF(E36=0,0,IF(E36&lt;INICIO!$B$32*2,INICIO!$B$33,0))+IF(E37=0,0,IF(E37&lt;INICIO!$B$32*2,INICIO!$B$33,0))+IF(E38=0,0,IF(E38&lt;INICIO!$B$32*2,INICIO!$B$33,0))+IF(E39=0,0,IF(E39&lt;INICIO!$B$32*2,INICIO!$B$33,0))+IF(E40=0,0,IF(E40&lt;INICIO!$B$32*2,INICIO!$B$33,0))+IF(E41=0,0,IF(E41&lt;INICIO!$B$32*2,INICIO!$B$33,0))+IF(E42=0,0,IF(E42&lt;INICIO!$B$32*2,INICIO!$B$33,0))+IF(E43=0,0,IF(E43&lt;INICIO!$B$32*2,INICIO!$B$33,0))+IF(E44=0,0,IF(E44&lt;INICIO!$B$32*2,INICIO!$B$33,0))+IF(E45=0,0,IF(E45&lt;INICIO!$B$32*2,INICIO!$B$33,0))+IF(E46=0,0,IF(E46&lt;INICIO!$B$32*2,INICIO!$B$33,0))</f>
        <v>268000</v>
      </c>
      <c r="F48" s="37">
        <f>IF(F31=0,0,IF(F31&lt;INICIO!$B$32*2,INICIO!$B$33,0))+IF(F32=0,0,IF(F32&lt;INICIO!$B$32*2,INICIO!$B$33,0))+IF(F33=0,0,IF(F33&lt;INICIO!$B$32*2,INICIO!$B$33,0))+IF(F34=0,0,IF(F34&lt;INICIO!$B$32*2,INICIO!$B$33,0))+IF(F35=0,0,IF(F35&lt;INICIO!$B$32*2,INICIO!$B$33,0))+IF(F36=0,0,IF(F36&lt;INICIO!$B$32*2,INICIO!$B$33,0))+IF(F37=0,0,IF(F37&lt;INICIO!$B$32*2,INICIO!$B$33,0))+IF(F38=0,0,IF(F38&lt;INICIO!$B$32*2,INICIO!$B$33,0))+IF(F39=0,0,IF(F39&lt;INICIO!$B$32*2,INICIO!$B$33,0))+IF(F40=0,0,IF(F40&lt;INICIO!$B$32*2,INICIO!$B$33,0))+IF(F41=0,0,IF(F41&lt;INICIO!$B$32*2,INICIO!$B$33,0))+IF(F42=0,0,IF(F42&lt;INICIO!$B$32*2,INICIO!$B$33,0))+IF(F43=0,0,IF(F43&lt;INICIO!$B$32*2,INICIO!$B$33,0))+IF(F44=0,0,IF(F44&lt;INICIO!$B$32*2,INICIO!$B$33,0))+IF(F45=0,0,IF(F45&lt;INICIO!$B$32*2,INICIO!$B$33,0))+IF(F46=0,0,IF(F46&lt;INICIO!$B$32*2,INICIO!$B$33,0))</f>
        <v>268000</v>
      </c>
      <c r="G48" s="37">
        <f>IF(G31=0,0,IF(G31&lt;INICIO!$B$32*2,INICIO!$B$33,0))+IF(G32=0,0,IF(G32&lt;INICIO!$B$32*2,INICIO!$B$33,0))+IF(G33=0,0,IF(G33&lt;INICIO!$B$32*2,INICIO!$B$33,0))+IF(G34=0,0,IF(G34&lt;INICIO!$B$32*2,INICIO!$B$33,0))+IF(G35=0,0,IF(G35&lt;INICIO!$B$32*2,INICIO!$B$33,0))+IF(G36=0,0,IF(G36&lt;INICIO!$B$32*2,INICIO!$B$33,0))+IF(G37=0,0,IF(G37&lt;INICIO!$B$32*2,INICIO!$B$33,0))+IF(G38=0,0,IF(G38&lt;INICIO!$B$32*2,INICIO!$B$33,0))+IF(G39=0,0,IF(G39&lt;INICIO!$B$32*2,INICIO!$B$33,0))+IF(G40=0,0,IF(G40&lt;INICIO!$B$32*2,INICIO!$B$33,0))+IF(G41=0,0,IF(G41&lt;INICIO!$B$32*2,INICIO!$B$33,0))+IF(G42=0,0,IF(G42&lt;INICIO!$B$32*2,INICIO!$B$33,0))+IF(G43=0,0,IF(G43&lt;INICIO!$B$32*2,INICIO!$B$33,0))+IF(G44=0,0,IF(G44&lt;INICIO!$B$32*2,INICIO!$B$33,0))+IF(G45=0,0,IF(G45&lt;INICIO!$B$32*2,INICIO!$B$33,0))+IF(G46=0,0,IF(G46&lt;INICIO!$B$32*2,INICIO!$B$33,0))</f>
        <v>268000</v>
      </c>
      <c r="H48" s="37">
        <f>IF(H31=0,0,IF(H31&lt;INICIO!$B$32*2,INICIO!$B$33,0))+IF(H32=0,0,IF(H32&lt;INICIO!$B$32*2,INICIO!$B$33,0))+IF(H33=0,0,IF(H33&lt;INICIO!$B$32*2,INICIO!$B$33,0))+IF(H34=0,0,IF(H34&lt;INICIO!$B$32*2,INICIO!$B$33,0))+IF(H35=0,0,IF(H35&lt;INICIO!$B$32*2,INICIO!$B$33,0))+IF(H36=0,0,IF(H36&lt;INICIO!$B$32*2,INICIO!$B$33,0))+IF(H37=0,0,IF(H37&lt;INICIO!$B$32*2,INICIO!$B$33,0))+IF(H38=0,0,IF(H38&lt;INICIO!$B$32*2,INICIO!$B$33,0))+IF(H39=0,0,IF(H39&lt;INICIO!$B$32*2,INICIO!$B$33,0))+IF(H40=0,0,IF(H40&lt;INICIO!$B$32*2,INICIO!$B$33,0))+IF(H41=0,0,IF(H41&lt;INICIO!$B$32*2,INICIO!$B$33,0))+IF(H42=0,0,IF(H42&lt;INICIO!$B$32*2,INICIO!$B$33,0))+IF(H43=0,0,IF(H43&lt;INICIO!$B$32*2,INICIO!$B$33,0))+IF(H44=0,0,IF(H44&lt;INICIO!$B$32*2,INICIO!$B$33,0))+IF(H45=0,0,IF(H45&lt;INICIO!$B$32*2,INICIO!$B$33,0))+IF(H46=0,0,IF(H46&lt;INICIO!$B$32*2,INICIO!$B$33,0))</f>
        <v>268000</v>
      </c>
      <c r="I48" s="37">
        <f>IF(I31=0,0,IF(I31&lt;INICIO!$B$32*2,INICIO!$B$33,0))+IF(I32=0,0,IF(I32&lt;INICIO!$B$32*2,INICIO!$B$33,0))+IF(I33=0,0,IF(I33&lt;INICIO!$B$32*2,INICIO!$B$33,0))+IF(I34=0,0,IF(I34&lt;INICIO!$B$32*2,INICIO!$B$33,0))+IF(I35=0,0,IF(I35&lt;INICIO!$B$32*2,INICIO!$B$33,0))+IF(I36=0,0,IF(I36&lt;INICIO!$B$32*2,INICIO!$B$33,0))+IF(I37=0,0,IF(I37&lt;INICIO!$B$32*2,INICIO!$B$33,0))+IF(I38=0,0,IF(I38&lt;INICIO!$B$32*2,INICIO!$B$33,0))+IF(I39=0,0,IF(I39&lt;INICIO!$B$32*2,INICIO!$B$33,0))+IF(I40=0,0,IF(I40&lt;INICIO!$B$32*2,INICIO!$B$33,0))+IF(I41=0,0,IF(I41&lt;INICIO!$B$32*2,INICIO!$B$33,0))+IF(I42=0,0,IF(I42&lt;INICIO!$B$32*2,INICIO!$B$33,0))+IF(I43=0,0,IF(I43&lt;INICIO!$B$32*2,INICIO!$B$33,0))+IF(I44=0,0,IF(I44&lt;INICIO!$B$32*2,INICIO!$B$33,0))+IF(I45=0,0,IF(I45&lt;INICIO!$B$32*2,INICIO!$B$33,0))+IF(I46=0,0,IF(I46&lt;INICIO!$B$32*2,INICIO!$B$33,0))</f>
        <v>268000</v>
      </c>
      <c r="J48" s="37">
        <f>IF(J31=0,0,IF(J31&lt;INICIO!$B$32*2,INICIO!$B$33,0))+IF(J32=0,0,IF(J32&lt;INICIO!$B$32*2,INICIO!$B$33,0))+IF(J33=0,0,IF(J33&lt;INICIO!$B$32*2,INICIO!$B$33,0))+IF(J34=0,0,IF(J34&lt;INICIO!$B$32*2,INICIO!$B$33,0))+IF(J35=0,0,IF(J35&lt;INICIO!$B$32*2,INICIO!$B$33,0))+IF(J36=0,0,IF(J36&lt;INICIO!$B$32*2,INICIO!$B$33,0))+IF(J37=0,0,IF(J37&lt;INICIO!$B$32*2,INICIO!$B$33,0))+IF(J38=0,0,IF(J38&lt;INICIO!$B$32*2,INICIO!$B$33,0))+IF(J39=0,0,IF(J39&lt;INICIO!$B$32*2,INICIO!$B$33,0))+IF(J40=0,0,IF(J40&lt;INICIO!$B$32*2,INICIO!$B$33,0))+IF(J41=0,0,IF(J41&lt;INICIO!$B$32*2,INICIO!$B$33,0))+IF(J42=0,0,IF(J42&lt;INICIO!$B$32*2,INICIO!$B$33,0))+IF(J43=0,0,IF(J43&lt;INICIO!$B$32*2,INICIO!$B$33,0))+IF(J44=0,0,IF(J44&lt;INICIO!$B$32*2,INICIO!$B$33,0))+IF(J45=0,0,IF(J45&lt;INICIO!$B$32*2,INICIO!$B$33,0))+IF(J46=0,0,IF(J46&lt;INICIO!$B$32*2,INICIO!$B$33,0))</f>
        <v>268000</v>
      </c>
      <c r="K48" s="37">
        <f>IF(K31=0,0,IF(K31&lt;INICIO!$B$32*2,INICIO!$B$33,0))+IF(K32=0,0,IF(K32&lt;INICIO!$B$32*2,INICIO!$B$33,0))+IF(K33=0,0,IF(K33&lt;INICIO!$B$32*2,INICIO!$B$33,0))+IF(K34=0,0,IF(K34&lt;INICIO!$B$32*2,INICIO!$B$33,0))+IF(K35=0,0,IF(K35&lt;INICIO!$B$32*2,INICIO!$B$33,0))+IF(K36=0,0,IF(K36&lt;INICIO!$B$32*2,INICIO!$B$33,0))+IF(K37=0,0,IF(K37&lt;INICIO!$B$32*2,INICIO!$B$33,0))+IF(K38=0,0,IF(K38&lt;INICIO!$B$32*2,INICIO!$B$33,0))+IF(K39=0,0,IF(K39&lt;INICIO!$B$32*2,INICIO!$B$33,0))+IF(K40=0,0,IF(K40&lt;INICIO!$B$32*2,INICIO!$B$33,0))+IF(K41=0,0,IF(K41&lt;INICIO!$B$32*2,INICIO!$B$33,0))+IF(K42=0,0,IF(K42&lt;INICIO!$B$32*2,INICIO!$B$33,0))+IF(K43=0,0,IF(K43&lt;INICIO!$B$32*2,INICIO!$B$33,0))+IF(K44=0,0,IF(K44&lt;INICIO!$B$32*2,INICIO!$B$33,0))+IF(K45=0,0,IF(K45&lt;INICIO!$B$32*2,INICIO!$B$33,0))+IF(K46=0,0,IF(K46&lt;INICIO!$B$32*2,INICIO!$B$33,0))</f>
        <v>268000</v>
      </c>
      <c r="L48" s="37">
        <f>IF(L31=0,0,IF(L31&lt;INICIO!$B$32*2,INICIO!$B$33,0))+IF(L32=0,0,IF(L32&lt;INICIO!$B$32*2,INICIO!$B$33,0))+IF(L33=0,0,IF(L33&lt;INICIO!$B$32*2,INICIO!$B$33,0))+IF(L34=0,0,IF(L34&lt;INICIO!$B$32*2,INICIO!$B$33,0))+IF(L35=0,0,IF(L35&lt;INICIO!$B$32*2,INICIO!$B$33,0))+IF(L36=0,0,IF(L36&lt;INICIO!$B$32*2,INICIO!$B$33,0))+IF(L37=0,0,IF(L37&lt;INICIO!$B$32*2,INICIO!$B$33,0))+IF(L38=0,0,IF(L38&lt;INICIO!$B$32*2,INICIO!$B$33,0))+IF(L39=0,0,IF(L39&lt;INICIO!$B$32*2,INICIO!$B$33,0))+IF(L40=0,0,IF(L40&lt;INICIO!$B$32*2,INICIO!$B$33,0))+IF(L41=0,0,IF(L41&lt;INICIO!$B$32*2,INICIO!$B$33,0))+IF(L42=0,0,IF(L42&lt;INICIO!$B$32*2,INICIO!$B$33,0))+IF(L43=0,0,IF(L43&lt;INICIO!$B$32*2,INICIO!$B$33,0))+IF(L44=0,0,IF(L44&lt;INICIO!$B$32*2,INICIO!$B$33,0))+IF(L45=0,0,IF(L45&lt;INICIO!$B$32*2,INICIO!$B$33,0))+IF(L46=0,0,IF(L46&lt;INICIO!$B$32*2,INICIO!$B$33,0))</f>
        <v>268000</v>
      </c>
      <c r="M48" s="37">
        <f>IF(M31=0,0,IF(M31&lt;INICIO!$B$32*2,INICIO!$B$33,0))+IF(M32=0,0,IF(M32&lt;INICIO!$B$32*2,INICIO!$B$33,0))+IF(M33=0,0,IF(M33&lt;INICIO!$B$32*2,INICIO!$B$33,0))+IF(M34=0,0,IF(M34&lt;INICIO!$B$32*2,INICIO!$B$33,0))+IF(M35=0,0,IF(M35&lt;INICIO!$B$32*2,INICIO!$B$33,0))+IF(M36=0,0,IF(M36&lt;INICIO!$B$32*2,INICIO!$B$33,0))+IF(M37=0,0,IF(M37&lt;INICIO!$B$32*2,INICIO!$B$33,0))+IF(M38=0,0,IF(M38&lt;INICIO!$B$32*2,INICIO!$B$33,0))+IF(M39=0,0,IF(M39&lt;INICIO!$B$32*2,INICIO!$B$33,0))+IF(M40=0,0,IF(M40&lt;INICIO!$B$32*2,INICIO!$B$33,0))+IF(M41=0,0,IF(M41&lt;INICIO!$B$32*2,INICIO!$B$33,0))+IF(M42=0,0,IF(M42&lt;INICIO!$B$32*2,INICIO!$B$33,0))+IF(M43=0,0,IF(M43&lt;INICIO!$B$32*2,INICIO!$B$33,0))+IF(M44=0,0,IF(M44&lt;INICIO!$B$32*2,INICIO!$B$33,0))+IF(M45=0,0,IF(M45&lt;INICIO!$B$32*2,INICIO!$B$33,0))+IF(M46=0,0,IF(M46&lt;INICIO!$B$32*2,INICIO!$B$33,0))</f>
        <v>268000</v>
      </c>
      <c r="N48" s="37">
        <f>IF(N31=0,0,IF(N31&lt;INICIO!$C$32*2,INICIO!$C$33,0))+IF(N32=0,0,IF(N32&lt;INICIO!$C$32*2,INICIO!$C$33,0))+IF(N33=0,0,IF(N33&lt;INICIO!$C$32*2,INICIO!$C$33,0))+IF(N34=0,0,IF(N34&lt;INICIO!$C$32*2,INICIO!$C$33,0))+IF(N35=0,0,IF(N35&lt;INICIO!$C$32*2,INICIO!$C$33,0))+IF(N36=0,0,IF(N36&lt;INICIO!$C$32*2,INICIO!$C$33,0))+IF(N37=0,0,IF(N37&lt;INICIO!$C$32*2,INICIO!$C$33,0))+IF(N38=0,0,IF(N38&lt;INICIO!$C$32*2,INICIO!$C$33,0))+IF(N39=0,0,IF(N39&lt;INICIO!$C$32*2,INICIO!$C$33,0))+IF(N40=0,0,IF(N40&lt;INICIO!$C$32*2,INICIO!$C$33,0))+IF(N41=0,0,IF(N41&lt;INICIO!$C$32*2,INICIO!$C$33,0))+IF(N42=0,0,IF(N42&lt;INICIO!$C$32*2,INICIO!$C$33,0))+IF(N43=0,0,IF(N43&lt;INICIO!$C$32*2,INICIO!$C$33,0))+IF(N44=0,0,IF(N44&lt;INICIO!$C$32*2,INICIO!$C$33,0))+IF(N45=0,0,IF(N45&lt;INICIO!$C$32*2,INICIO!$C$33,0))+IF(N46=0,0,IF(N46&lt;INICIO!$C$32*2,INICIO!$C$33,0))</f>
        <v>564000</v>
      </c>
      <c r="O48" s="37">
        <f>IF(O31=0,0,IF(O31&lt;INICIO!$C$32*2,INICIO!$C$33,0))+IF(O32=0,0,IF(O32&lt;INICIO!$C$32*2,INICIO!$C$33,0))+IF(O33=0,0,IF(O33&lt;INICIO!$C$32*2,INICIO!$C$33,0))+IF(O34=0,0,IF(O34&lt;INICIO!$C$32*2,INICIO!$C$33,0))+IF(O35=0,0,IF(O35&lt;INICIO!$C$32*2,INICIO!$C$33,0))+IF(O36=0,0,IF(O36&lt;INICIO!$C$32*2,INICIO!$C$33,0))+IF(O37=0,0,IF(O37&lt;INICIO!$C$32*2,INICIO!$C$33,0))+IF(O38=0,0,IF(O38&lt;INICIO!$C$32*2,INICIO!$C$33,0))+IF(O39=0,0,IF(O39&lt;INICIO!$C$32*2,INICIO!$C$33,0))+IF(O40=0,0,IF(O40&lt;INICIO!$C$32*2,INICIO!$C$33,0))+IF(O41=0,0,IF(O41&lt;INICIO!$C$32*2,INICIO!$C$33,0))+IF(O42=0,0,IF(O42&lt;INICIO!$C$32*2,INICIO!$C$33,0))+IF(O43=0,0,IF(O43&lt;INICIO!$C$32*2,INICIO!$C$33,0))+IF(O44=0,0,IF(O44&lt;INICIO!$C$32*2,INICIO!$C$33,0))+IF(O45=0,0,IF(O45&lt;INICIO!$C$32*2,INICIO!$C$33,0))+IF(O46=0,0,IF(O46&lt;INICIO!$C$32*2,INICIO!$C$33,0))</f>
        <v>564000</v>
      </c>
      <c r="P48" s="37">
        <f>IF(P31=0,0,IF(P31&lt;INICIO!$C$32*2,INICIO!$C$33,0))+IF(P32=0,0,IF(P32&lt;INICIO!$C$32*2,INICIO!$C$33,0))+IF(P33=0,0,IF(P33&lt;INICIO!$C$32*2,INICIO!$C$33,0))+IF(P34=0,0,IF(P34&lt;INICIO!$C$32*2,INICIO!$C$33,0))+IF(P35=0,0,IF(P35&lt;INICIO!$C$32*2,INICIO!$C$33,0))+IF(P36=0,0,IF(P36&lt;INICIO!$C$32*2,INICIO!$C$33,0))+IF(P37=0,0,IF(P37&lt;INICIO!$C$32*2,INICIO!$C$33,0))+IF(P38=0,0,IF(P38&lt;INICIO!$C$32*2,INICIO!$C$33,0))+IF(P39=0,0,IF(P39&lt;INICIO!$C$32*2,INICIO!$C$33,0))+IF(P40=0,0,IF(P40&lt;INICIO!$C$32*2,INICIO!$C$33,0))+IF(P41=0,0,IF(P41&lt;INICIO!$C$32*2,INICIO!$C$33,0))+IF(P42=0,0,IF(P42&lt;INICIO!$C$32*2,INICIO!$C$33,0))+IF(P43=0,0,IF(P43&lt;INICIO!$C$32*2,INICIO!$C$33,0))+IF(P44=0,0,IF(P44&lt;INICIO!$C$32*2,INICIO!$C$33,0))+IF(P45=0,0,IF(P45&lt;INICIO!$C$32*2,INICIO!$C$33,0))+IF(P46=0,0,IF(P46&lt;INICIO!$C$32*2,INICIO!$C$33,0))</f>
        <v>564000</v>
      </c>
      <c r="Q48" s="37">
        <f>IF(Q31=0,0,IF(Q31&lt;INICIO!$C$32*2,INICIO!$C$33,0))+IF(Q32=0,0,IF(Q32&lt;INICIO!$C$32*2,INICIO!$C$33,0))+IF(Q33=0,0,IF(Q33&lt;INICIO!$C$32*2,INICIO!$C$33,0))+IF(Q34=0,0,IF(Q34&lt;INICIO!$C$32*2,INICIO!$C$33,0))+IF(Q35=0,0,IF(Q35&lt;INICIO!$C$32*2,INICIO!$C$33,0))+IF(Q36=0,0,IF(Q36&lt;INICIO!$C$32*2,INICIO!$C$33,0))+IF(Q37=0,0,IF(Q37&lt;INICIO!$C$32*2,INICIO!$C$33,0))+IF(Q38=0,0,IF(Q38&lt;INICIO!$C$32*2,INICIO!$C$33,0))+IF(Q39=0,0,IF(Q39&lt;INICIO!$C$32*2,INICIO!$C$33,0))+IF(Q40=0,0,IF(Q40&lt;INICIO!$C$32*2,INICIO!$C$33,0))+IF(Q41=0,0,IF(Q41&lt;INICIO!$C$32*2,INICIO!$C$33,0))+IF(Q42=0,0,IF(Q42&lt;INICIO!$C$32*2,INICIO!$C$33,0))+IF(Q43=0,0,IF(Q43&lt;INICIO!$C$32*2,INICIO!$C$33,0))+IF(Q44=0,0,IF(Q44&lt;INICIO!$C$32*2,INICIO!$C$33,0))+IF(Q45=0,0,IF(Q45&lt;INICIO!$C$32*2,INICIO!$C$33,0))+IF(Q46=0,0,IF(Q46&lt;INICIO!$C$32*2,INICIO!$C$33,0))</f>
        <v>564000</v>
      </c>
      <c r="R48" s="37">
        <f>IF(R31=0,0,IF(R31&lt;INICIO!$C$32*2,INICIO!$C$33,0))+IF(R32=0,0,IF(R32&lt;INICIO!$C$32*2,INICIO!$C$33,0))+IF(R33=0,0,IF(R33&lt;INICIO!$C$32*2,INICIO!$C$33,0))+IF(R34=0,0,IF(R34&lt;INICIO!$C$32*2,INICIO!$C$33,0))+IF(R35=0,0,IF(R35&lt;INICIO!$C$32*2,INICIO!$C$33,0))+IF(R36=0,0,IF(R36&lt;INICIO!$C$32*2,INICIO!$C$33,0))+IF(R37=0,0,IF(R37&lt;INICIO!$C$32*2,INICIO!$C$33,0))+IF(R38=0,0,IF(R38&lt;INICIO!$C$32*2,INICIO!$C$33,0))+IF(R39=0,0,IF(R39&lt;INICIO!$C$32*2,INICIO!$C$33,0))+IF(R40=0,0,IF(R40&lt;INICIO!$C$32*2,INICIO!$C$33,0))+IF(R41=0,0,IF(R41&lt;INICIO!$C$32*2,INICIO!$C$33,0))+IF(R42=0,0,IF(R42&lt;INICIO!$C$32*2,INICIO!$C$33,0))+IF(R43=0,0,IF(R43&lt;INICIO!$C$32*2,INICIO!$C$33,0))+IF(R44=0,0,IF(R44&lt;INICIO!$C$32*2,INICIO!$C$33,0))+IF(R45=0,0,IF(R45&lt;INICIO!$C$32*2,INICIO!$C$33,0))+IF(R46=0,0,IF(R46&lt;INICIO!$C$32*2,INICIO!$C$33,0))</f>
        <v>564000</v>
      </c>
      <c r="S48" s="37">
        <f>IF(S31=0,0,IF(S31&lt;INICIO!$C$32*2,INICIO!$C$33,0))+IF(S32=0,0,IF(S32&lt;INICIO!$C$32*2,INICIO!$C$33,0))+IF(S33=0,0,IF(S33&lt;INICIO!$C$32*2,INICIO!$C$33,0))+IF(S34=0,0,IF(S34&lt;INICIO!$C$32*2,INICIO!$C$33,0))+IF(S35=0,0,IF(S35&lt;INICIO!$C$32*2,INICIO!$C$33,0))+IF(S36=0,0,IF(S36&lt;INICIO!$C$32*2,INICIO!$C$33,0))+IF(S37=0,0,IF(S37&lt;INICIO!$C$32*2,INICIO!$C$33,0))+IF(S38=0,0,IF(S38&lt;INICIO!$C$32*2,INICIO!$C$33,0))+IF(S39=0,0,IF(S39&lt;INICIO!$C$32*2,INICIO!$C$33,0))+IF(S40=0,0,IF(S40&lt;INICIO!$C$32*2,INICIO!$C$33,0))+IF(S41=0,0,IF(S41&lt;INICIO!$C$32*2,INICIO!$C$33,0))+IF(S42=0,0,IF(S42&lt;INICIO!$C$32*2,INICIO!$C$33,0))+IF(S43=0,0,IF(S43&lt;INICIO!$C$32*2,INICIO!$C$33,0))+IF(S44=0,0,IF(S44&lt;INICIO!$C$32*2,INICIO!$C$33,0))+IF(S45=0,0,IF(S45&lt;INICIO!$C$32*2,INICIO!$C$33,0))+IF(S46=0,0,IF(S46&lt;INICIO!$C$32*2,INICIO!$C$33,0))</f>
        <v>564000</v>
      </c>
      <c r="T48" s="37">
        <f>IF(T31=0,0,IF(T31&lt;INICIO!$C$32*2,INICIO!$C$33,0))+IF(T32=0,0,IF(T32&lt;INICIO!$C$32*2,INICIO!$C$33,0))+IF(T33=0,0,IF(T33&lt;INICIO!$C$32*2,INICIO!$C$33,0))+IF(T34=0,0,IF(T34&lt;INICIO!$C$32*2,INICIO!$C$33,0))+IF(T35=0,0,IF(T35&lt;INICIO!$C$32*2,INICIO!$C$33,0))+IF(T36=0,0,IF(T36&lt;INICIO!$C$32*2,INICIO!$C$33,0))+IF(T37=0,0,IF(T37&lt;INICIO!$C$32*2,INICIO!$C$33,0))+IF(T38=0,0,IF(T38&lt;INICIO!$C$32*2,INICIO!$C$33,0))+IF(T39=0,0,IF(T39&lt;INICIO!$C$32*2,INICIO!$C$33,0))+IF(T40=0,0,IF(T40&lt;INICIO!$C$32*2,INICIO!$C$33,0))+IF(T41=0,0,IF(T41&lt;INICIO!$C$32*2,INICIO!$C$33,0))+IF(T42=0,0,IF(T42&lt;INICIO!$C$32*2,INICIO!$C$33,0))+IF(T43=0,0,IF(T43&lt;INICIO!$C$32*2,INICIO!$C$33,0))+IF(T44=0,0,IF(T44&lt;INICIO!$C$32*2,INICIO!$C$33,0))+IF(T45=0,0,IF(T45&lt;INICIO!$C$32*2,INICIO!$C$33,0))+IF(T46=0,0,IF(T46&lt;INICIO!$C$32*2,INICIO!$C$33,0))</f>
        <v>564000</v>
      </c>
      <c r="U48" s="37">
        <f>IF(U31=0,0,IF(U31&lt;INICIO!$C$32*2,INICIO!$C$33,0))+IF(U32=0,0,IF(U32&lt;INICIO!$C$32*2,INICIO!$C$33,0))+IF(U33=0,0,IF(U33&lt;INICIO!$C$32*2,INICIO!$C$33,0))+IF(U34=0,0,IF(U34&lt;INICIO!$C$32*2,INICIO!$C$33,0))+IF(U35=0,0,IF(U35&lt;INICIO!$C$32*2,INICIO!$C$33,0))+IF(U36=0,0,IF(U36&lt;INICIO!$C$32*2,INICIO!$C$33,0))+IF(U37=0,0,IF(U37&lt;INICIO!$C$32*2,INICIO!$C$33,0))+IF(U38=0,0,IF(U38&lt;INICIO!$C$32*2,INICIO!$C$33,0))+IF(U39=0,0,IF(U39&lt;INICIO!$C$32*2,INICIO!$C$33,0))+IF(U40=0,0,IF(U40&lt;INICIO!$C$32*2,INICIO!$C$33,0))+IF(U41=0,0,IF(U41&lt;INICIO!$C$32*2,INICIO!$C$33,0))+IF(U42=0,0,IF(U42&lt;INICIO!$C$32*2,INICIO!$C$33,0))+IF(U43=0,0,IF(U43&lt;INICIO!$C$32*2,INICIO!$C$33,0))+IF(U44=0,0,IF(U44&lt;INICIO!$C$32*2,INICIO!$C$33,0))+IF(U45=0,0,IF(U45&lt;INICIO!$C$32*2,INICIO!$C$33,0))+IF(U46=0,0,IF(U46&lt;INICIO!$C$32*2,INICIO!$C$33,0))</f>
        <v>564000</v>
      </c>
      <c r="V48" s="37">
        <f>IF(V31=0,0,IF(V31&lt;INICIO!$C$32*2,INICIO!$C$33,0))+IF(V32=0,0,IF(V32&lt;INICIO!$C$32*2,INICIO!$C$33,0))+IF(V33=0,0,IF(V33&lt;INICIO!$C$32*2,INICIO!$C$33,0))+IF(V34=0,0,IF(V34&lt;INICIO!$C$32*2,INICIO!$C$33,0))+IF(V35=0,0,IF(V35&lt;INICIO!$C$32*2,INICIO!$C$33,0))+IF(V36=0,0,IF(V36&lt;INICIO!$C$32*2,INICIO!$C$33,0))+IF(V37=0,0,IF(V37&lt;INICIO!$C$32*2,INICIO!$C$33,0))+IF(V38=0,0,IF(V38&lt;INICIO!$C$32*2,INICIO!$C$33,0))+IF(V39=0,0,IF(V39&lt;INICIO!$C$32*2,INICIO!$C$33,0))+IF(V40=0,0,IF(V40&lt;INICIO!$C$32*2,INICIO!$C$33,0))+IF(V41=0,0,IF(V41&lt;INICIO!$C$32*2,INICIO!$C$33,0))+IF(V42=0,0,IF(V42&lt;INICIO!$C$32*2,INICIO!$C$33,0))+IF(V43=0,0,IF(V43&lt;INICIO!$C$32*2,INICIO!$C$33,0))+IF(V44=0,0,IF(V44&lt;INICIO!$C$32*2,INICIO!$C$33,0))+IF(V45=0,0,IF(V45&lt;INICIO!$C$32*2,INICIO!$C$33,0))+IF(V46=0,0,IF(V46&lt;INICIO!$C$32*2,INICIO!$C$33,0))</f>
        <v>564000</v>
      </c>
      <c r="W48" s="37">
        <f>IF(W31=0,0,IF(W31&lt;INICIO!$C$32*2,INICIO!$C$33,0))+IF(W32=0,0,IF(W32&lt;INICIO!$C$32*2,INICIO!$C$33,0))+IF(W33=0,0,IF(W33&lt;INICIO!$C$32*2,INICIO!$C$33,0))+IF(W34=0,0,IF(W34&lt;INICIO!$C$32*2,INICIO!$C$33,0))+IF(W35=0,0,IF(W35&lt;INICIO!$C$32*2,INICIO!$C$33,0))+IF(W36=0,0,IF(W36&lt;INICIO!$C$32*2,INICIO!$C$33,0))+IF(W37=0,0,IF(W37&lt;INICIO!$C$32*2,INICIO!$C$33,0))+IF(W38=0,0,IF(W38&lt;INICIO!$C$32*2,INICIO!$C$33,0))+IF(W39=0,0,IF(W39&lt;INICIO!$C$32*2,INICIO!$C$33,0))+IF(W40=0,0,IF(W40&lt;INICIO!$C$32*2,INICIO!$C$33,0))+IF(W41=0,0,IF(W41&lt;INICIO!$C$32*2,INICIO!$C$33,0))+IF(W42=0,0,IF(W42&lt;INICIO!$C$32*2,INICIO!$C$33,0))+IF(W43=0,0,IF(W43&lt;INICIO!$C$32*2,INICIO!$C$33,0))+IF(W44=0,0,IF(W44&lt;INICIO!$C$32*2,INICIO!$C$33,0))+IF(W45=0,0,IF(W45&lt;INICIO!$C$32*2,INICIO!$C$33,0))+IF(W46=0,0,IF(W46&lt;INICIO!$C$32*2,INICIO!$C$33,0))</f>
        <v>564000</v>
      </c>
      <c r="X48" s="37">
        <f>IF(X31=0,0,IF(X31&lt;INICIO!$C$32*2,INICIO!$C$33,0))+IF(X32=0,0,IF(X32&lt;INICIO!$C$32*2,INICIO!$C$33,0))+IF(X33=0,0,IF(X33&lt;INICIO!$C$32*2,INICIO!$C$33,0))+IF(X34=0,0,IF(X34&lt;INICIO!$C$32*2,INICIO!$C$33,0))+IF(X35=0,0,IF(X35&lt;INICIO!$C$32*2,INICIO!$C$33,0))+IF(X36=0,0,IF(X36&lt;INICIO!$C$32*2,INICIO!$C$33,0))+IF(X37=0,0,IF(X37&lt;INICIO!$C$32*2,INICIO!$C$33,0))+IF(X38=0,0,IF(X38&lt;INICIO!$C$32*2,INICIO!$C$33,0))+IF(X39=0,0,IF(X39&lt;INICIO!$C$32*2,INICIO!$C$33,0))+IF(X40=0,0,IF(X40&lt;INICIO!$C$32*2,INICIO!$C$33,0))+IF(X41=0,0,IF(X41&lt;INICIO!$C$32*2,INICIO!$C$33,0))+IF(X42=0,0,IF(X42&lt;INICIO!$C$32*2,INICIO!$C$33,0))+IF(X43=0,0,IF(X43&lt;INICIO!$C$32*2,INICIO!$C$33,0))+IF(X44=0,0,IF(X44&lt;INICIO!$C$32*2,INICIO!$C$33,0))+IF(X45=0,0,IF(X45&lt;INICIO!$C$32*2,INICIO!$C$33,0))+IF(X46=0,0,IF(X46&lt;INICIO!$C$32*2,INICIO!$C$33,0))</f>
        <v>564000</v>
      </c>
      <c r="Y48" s="37">
        <f>IF(Y31=0,0,IF(Y31&lt;INICIO!$C$32*2,INICIO!$C$33,0))+IF(Y32=0,0,IF(Y32&lt;INICIO!$C$32*2,INICIO!$C$33,0))+IF(Y33=0,0,IF(Y33&lt;INICIO!$C$32*2,INICIO!$C$33,0))+IF(Y34=0,0,IF(Y34&lt;INICIO!$C$32*2,INICIO!$C$33,0))+IF(Y35=0,0,IF(Y35&lt;INICIO!$C$32*2,INICIO!$C$33,0))+IF(Y36=0,0,IF(Y36&lt;INICIO!$C$32*2,INICIO!$C$33,0))+IF(Y37=0,0,IF(Y37&lt;INICIO!$C$32*2,INICIO!$C$33,0))+IF(Y38=0,0,IF(Y38&lt;INICIO!$C$32*2,INICIO!$C$33,0))+IF(Y39=0,0,IF(Y39&lt;INICIO!$C$32*2,INICIO!$C$33,0))+IF(Y40=0,0,IF(Y40&lt;INICIO!$C$32*2,INICIO!$C$33,0))+IF(Y41=0,0,IF(Y41&lt;INICIO!$C$32*2,INICIO!$C$33,0))+IF(Y42=0,0,IF(Y42&lt;INICIO!$C$32*2,INICIO!$C$33,0))+IF(Y43=0,0,IF(Y43&lt;INICIO!$C$32*2,INICIO!$C$33,0))+IF(Y44=0,0,IF(Y44&lt;INICIO!$C$32*2,INICIO!$C$33,0))+IF(Y45=0,0,IF(Y45&lt;INICIO!$C$32*2,INICIO!$C$33,0))+IF(Y46=0,0,IF(Y46&lt;INICIO!$C$32*2,INICIO!$C$33,0))</f>
        <v>564000</v>
      </c>
      <c r="Z48" s="37">
        <f>IF(Z31=0,0,IF(Z31&lt;INICIO!$D$32*2,INICIO!$D$33,0))+IF(Z32=0,0,IF(Z32&lt;INICIO!$D$32*2,INICIO!$D$33,0))+IF(Z33=0,0,IF(Z33&lt;INICIO!$D$32*2,INICIO!$D$33,0))+IF(Z34=0,0,IF(Z34&lt;INICIO!$D$32*2,INICIO!$D$33,0))+IF(Z35=0,0,IF(Z35&lt;INICIO!$D$32*2,INICIO!$D$33,0))+IF(Z36=0,0,IF(Z36&lt;INICIO!$D$32*2,INICIO!$D$33,0))+IF(Z37=0,0,IF(Z37&lt;INICIO!$D$32*2,INICIO!$D$33,0))+IF(Z38=0,0,IF(Z38&lt;INICIO!$D$32*2,INICIO!$D$33,0))+IF(Z39=0,0,IF(Z39&lt;INICIO!$D$32*2,INICIO!$D$33,0))+IF(Z40=0,0,IF(Z40&lt;INICIO!$D$32*2,INICIO!$D$33,0))+IF(Z41=0,0,IF(Z41&lt;INICIO!$D$32*2,INICIO!$D$33,0))+IF(Z42=0,0,IF(Z42&lt;INICIO!$D$32*2,INICIO!$D$33,0))+IF(Z43=0,0,IF(Z43&lt;INICIO!$D$32*2,INICIO!$D$33,0))+IF(Z44=0,0,IF(Z44&lt;INICIO!$D$32*2,INICIO!$D$33,0))+IF(Z45=0,0,IF(Z45&lt;INICIO!$D$32*2,INICIO!$D$33,0))+IF(Z46=0,0,IF(Z46&lt;INICIO!$D$32*2,INICIO!$D$33,0))</f>
        <v>588000</v>
      </c>
      <c r="AA48" s="37">
        <f>IF(AA31=0,0,IF(AA31&lt;INICIO!$D$32*2,INICIO!$D$33,0))+IF(AA32=0,0,IF(AA32&lt;INICIO!$D$32*2,INICIO!$D$33,0))+IF(AA33=0,0,IF(AA33&lt;INICIO!$D$32*2,INICIO!$D$33,0))+IF(AA34=0,0,IF(AA34&lt;INICIO!$D$32*2,INICIO!$D$33,0))+IF(AA35=0,0,IF(AA35&lt;INICIO!$D$32*2,INICIO!$D$33,0))+IF(AA36=0,0,IF(AA36&lt;INICIO!$D$32*2,INICIO!$D$33,0))+IF(AA37=0,0,IF(AA37&lt;INICIO!$D$32*2,INICIO!$D$33,0))+IF(AA38=0,0,IF(AA38&lt;INICIO!$D$32*2,INICIO!$D$33,0))+IF(AA39=0,0,IF(AA39&lt;INICIO!$D$32*2,INICIO!$D$33,0))+IF(AA40=0,0,IF(AA40&lt;INICIO!$D$32*2,INICIO!$D$33,0))+IF(AA41=0,0,IF(AA41&lt;INICIO!$D$32*2,INICIO!$D$33,0))+IF(AA42=0,0,IF(AA42&lt;INICIO!$D$32*2,INICIO!$D$33,0))+IF(AA43=0,0,IF(AA43&lt;INICIO!$D$32*2,INICIO!$D$33,0))+IF(AA44=0,0,IF(AA44&lt;INICIO!$D$32*2,INICIO!$D$33,0))+IF(AA45=0,0,IF(AA45&lt;INICIO!$D$32*2,INICIO!$D$33,0))+IF(AA46=0,0,IF(AA46&lt;INICIO!$D$32*2,INICIO!$D$33,0))</f>
        <v>588000</v>
      </c>
      <c r="AB48" s="37">
        <f>IF(AB31=0,0,IF(AB31&lt;INICIO!$D$32*2,INICIO!$D$33,0))+IF(AB32=0,0,IF(AB32&lt;INICIO!$D$32*2,INICIO!$D$33,0))+IF(AB33=0,0,IF(AB33&lt;INICIO!$D$32*2,INICIO!$D$33,0))+IF(AB34=0,0,IF(AB34&lt;INICIO!$D$32*2,INICIO!$D$33,0))+IF(AB35=0,0,IF(AB35&lt;INICIO!$D$32*2,INICIO!$D$33,0))+IF(AB36=0,0,IF(AB36&lt;INICIO!$D$32*2,INICIO!$D$33,0))+IF(AB37=0,0,IF(AB37&lt;INICIO!$D$32*2,INICIO!$D$33,0))+IF(AB38=0,0,IF(AB38&lt;INICIO!$D$32*2,INICIO!$D$33,0))+IF(AB39=0,0,IF(AB39&lt;INICIO!$D$32*2,INICIO!$D$33,0))+IF(AB40=0,0,IF(AB40&lt;INICIO!$D$32*2,INICIO!$D$33,0))+IF(AB41=0,0,IF(AB41&lt;INICIO!$D$32*2,INICIO!$D$33,0))+IF(AB42=0,0,IF(AB42&lt;INICIO!$D$32*2,INICIO!$D$33,0))+IF(AB43=0,0,IF(AB43&lt;INICIO!$D$32*2,INICIO!$D$33,0))+IF(AB44=0,0,IF(AB44&lt;INICIO!$D$32*2,INICIO!$D$33,0))+IF(AB45=0,0,IF(AB45&lt;INICIO!$D$32*2,INICIO!$D$33,0))+IF(AB46=0,0,IF(AB46&lt;INICIO!$D$32*2,INICIO!$D$33,0))</f>
        <v>588000</v>
      </c>
      <c r="AC48" s="37">
        <f>IF(AC31=0,0,IF(AC31&lt;INICIO!$D$32*2,INICIO!$D$33,0))+IF(AC32=0,0,IF(AC32&lt;INICIO!$D$32*2,INICIO!$D$33,0))+IF(AC33=0,0,IF(AC33&lt;INICIO!$D$32*2,INICIO!$D$33,0))+IF(AC34=0,0,IF(AC34&lt;INICIO!$D$32*2,INICIO!$D$33,0))+IF(AC35=0,0,IF(AC35&lt;INICIO!$D$32*2,INICIO!$D$33,0))+IF(AC36=0,0,IF(AC36&lt;INICIO!$D$32*2,INICIO!$D$33,0))+IF(AC37=0,0,IF(AC37&lt;INICIO!$D$32*2,INICIO!$D$33,0))+IF(AC38=0,0,IF(AC38&lt;INICIO!$D$32*2,INICIO!$D$33,0))+IF(AC39=0,0,IF(AC39&lt;INICIO!$D$32*2,INICIO!$D$33,0))+IF(AC40=0,0,IF(AC40&lt;INICIO!$D$32*2,INICIO!$D$33,0))+IF(AC41=0,0,IF(AC41&lt;INICIO!$D$32*2,INICIO!$D$33,0))+IF(AC42=0,0,IF(AC42&lt;INICIO!$D$32*2,INICIO!$D$33,0))+IF(AC43=0,0,IF(AC43&lt;INICIO!$D$32*2,INICIO!$D$33,0))+IF(AC44=0,0,IF(AC44&lt;INICIO!$D$32*2,INICIO!$D$33,0))+IF(AC45=0,0,IF(AC45&lt;INICIO!$D$32*2,INICIO!$D$33,0))+IF(AC46=0,0,IF(AC46&lt;INICIO!$D$32*2,INICIO!$D$33,0))</f>
        <v>588000</v>
      </c>
      <c r="AD48" s="37">
        <f>IF(AD31=0,0,IF(AD31&lt;INICIO!$D$32*2,INICIO!$D$33,0))+IF(AD32=0,0,IF(AD32&lt;INICIO!$D$32*2,INICIO!$D$33,0))+IF(AD33=0,0,IF(AD33&lt;INICIO!$D$32*2,INICIO!$D$33,0))+IF(AD34=0,0,IF(AD34&lt;INICIO!$D$32*2,INICIO!$D$33,0))+IF(AD35=0,0,IF(AD35&lt;INICIO!$D$32*2,INICIO!$D$33,0))+IF(AD36=0,0,IF(AD36&lt;INICIO!$D$32*2,INICIO!$D$33,0))+IF(AD37=0,0,IF(AD37&lt;INICIO!$D$32*2,INICIO!$D$33,0))+IF(AD38=0,0,IF(AD38&lt;INICIO!$D$32*2,INICIO!$D$33,0))+IF(AD39=0,0,IF(AD39&lt;INICIO!$D$32*2,INICIO!$D$33,0))+IF(AD40=0,0,IF(AD40&lt;INICIO!$D$32*2,INICIO!$D$33,0))+IF(AD41=0,0,IF(AD41&lt;INICIO!$D$32*2,INICIO!$D$33,0))+IF(AD42=0,0,IF(AD42&lt;INICIO!$D$32*2,INICIO!$D$33,0))+IF(AD43=0,0,IF(AD43&lt;INICIO!$D$32*2,INICIO!$D$33,0))+IF(AD44=0,0,IF(AD44&lt;INICIO!$D$32*2,INICIO!$D$33,0))+IF(AD45=0,0,IF(AD45&lt;INICIO!$D$32*2,INICIO!$D$33,0))+IF(AD46=0,0,IF(AD46&lt;INICIO!$D$32*2,INICIO!$D$33,0))</f>
        <v>588000</v>
      </c>
      <c r="AE48" s="37">
        <f>IF(AE31=0,0,IF(AE31&lt;INICIO!$D$32*2,INICIO!$D$33,0))+IF(AE32=0,0,IF(AE32&lt;INICIO!$D$32*2,INICIO!$D$33,0))+IF(AE33=0,0,IF(AE33&lt;INICIO!$D$32*2,INICIO!$D$33,0))+IF(AE34=0,0,IF(AE34&lt;INICIO!$D$32*2,INICIO!$D$33,0))+IF(AE35=0,0,IF(AE35&lt;INICIO!$D$32*2,INICIO!$D$33,0))+IF(AE36=0,0,IF(AE36&lt;INICIO!$D$32*2,INICIO!$D$33,0))+IF(AE37=0,0,IF(AE37&lt;INICIO!$D$32*2,INICIO!$D$33,0))+IF(AE38=0,0,IF(AE38&lt;INICIO!$D$32*2,INICIO!$D$33,0))+IF(AE39=0,0,IF(AE39&lt;INICIO!$D$32*2,INICIO!$D$33,0))+IF(AE40=0,0,IF(AE40&lt;INICIO!$D$32*2,INICIO!$D$33,0))+IF(AE41=0,0,IF(AE41&lt;INICIO!$D$32*2,INICIO!$D$33,0))+IF(AE42=0,0,IF(AE42&lt;INICIO!$D$32*2,INICIO!$D$33,0))+IF(AE43=0,0,IF(AE43&lt;INICIO!$D$32*2,INICIO!$D$33,0))+IF(AE44=0,0,IF(AE44&lt;INICIO!$D$32*2,INICIO!$D$33,0))+IF(AE45=0,0,IF(AE45&lt;INICIO!$D$32*2,INICIO!$D$33,0))+IF(AE46=0,0,IF(AE46&lt;INICIO!$D$32*2,INICIO!$D$33,0))</f>
        <v>588000</v>
      </c>
      <c r="AF48" s="37">
        <f>IF(AF31=0,0,IF(AF31&lt;INICIO!$D$32*2,INICIO!$D$33,0))+IF(AF32=0,0,IF(AF32&lt;INICIO!$D$32*2,INICIO!$D$33,0))+IF(AF33=0,0,IF(AF33&lt;INICIO!$D$32*2,INICIO!$D$33,0))+IF(AF34=0,0,IF(AF34&lt;INICIO!$D$32*2,INICIO!$D$33,0))+IF(AF35=0,0,IF(AF35&lt;INICIO!$D$32*2,INICIO!$D$33,0))+IF(AF36=0,0,IF(AF36&lt;INICIO!$D$32*2,INICIO!$D$33,0))+IF(AF37=0,0,IF(AF37&lt;INICIO!$D$32*2,INICIO!$D$33,0))+IF(AF38=0,0,IF(AF38&lt;INICIO!$D$32*2,INICIO!$D$33,0))+IF(AF39=0,0,IF(AF39&lt;INICIO!$D$32*2,INICIO!$D$33,0))+IF(AF40=0,0,IF(AF40&lt;INICIO!$D$32*2,INICIO!$D$33,0))+IF(AF41=0,0,IF(AF41&lt;INICIO!$D$32*2,INICIO!$D$33,0))+IF(AF42=0,0,IF(AF42&lt;INICIO!$D$32*2,INICIO!$D$33,0))+IF(AF43=0,0,IF(AF43&lt;INICIO!$D$32*2,INICIO!$D$33,0))+IF(AF44=0,0,IF(AF44&lt;INICIO!$D$32*2,INICIO!$D$33,0))+IF(AF45=0,0,IF(AF45&lt;INICIO!$D$32*2,INICIO!$D$33,0))+IF(AF46=0,0,IF(AF46&lt;INICIO!$D$32*2,INICIO!$D$33,0))</f>
        <v>588000</v>
      </c>
      <c r="AG48" s="37">
        <f>IF(AG31=0,0,IF(AG31&lt;INICIO!$D$32*2,INICIO!$D$33,0))+IF(AG32=0,0,IF(AG32&lt;INICIO!$D$32*2,INICIO!$D$33,0))+IF(AG33=0,0,IF(AG33&lt;INICIO!$D$32*2,INICIO!$D$33,0))+IF(AG34=0,0,IF(AG34&lt;INICIO!$D$32*2,INICIO!$D$33,0))+IF(AG35=0,0,IF(AG35&lt;INICIO!$D$32*2,INICIO!$D$33,0))+IF(AG36=0,0,IF(AG36&lt;INICIO!$D$32*2,INICIO!$D$33,0))+IF(AG37=0,0,IF(AG37&lt;INICIO!$D$32*2,INICIO!$D$33,0))+IF(AG38=0,0,IF(AG38&lt;INICIO!$D$32*2,INICIO!$D$33,0))+IF(AG39=0,0,IF(AG39&lt;INICIO!$D$32*2,INICIO!$D$33,0))+IF(AG40=0,0,IF(AG40&lt;INICIO!$D$32*2,INICIO!$D$33,0))+IF(AG41=0,0,IF(AG41&lt;INICIO!$D$32*2,INICIO!$D$33,0))+IF(AG42=0,0,IF(AG42&lt;INICIO!$D$32*2,INICIO!$D$33,0))+IF(AG43=0,0,IF(AG43&lt;INICIO!$D$32*2,INICIO!$D$33,0))+IF(AG44=0,0,IF(AG44&lt;INICIO!$D$32*2,INICIO!$D$33,0))+IF(AG45=0,0,IF(AG45&lt;INICIO!$D$32*2,INICIO!$D$33,0))+IF(AG46=0,0,IF(AG46&lt;INICIO!$D$32*2,INICIO!$D$33,0))</f>
        <v>588000</v>
      </c>
      <c r="AH48" s="37">
        <f>IF(AH31=0,0,IF(AH31&lt;INICIO!$D$32*2,INICIO!$D$33,0))+IF(AH32=0,0,IF(AH32&lt;INICIO!$D$32*2,INICIO!$D$33,0))+IF(AH33=0,0,IF(AH33&lt;INICIO!$D$32*2,INICIO!$D$33,0))+IF(AH34=0,0,IF(AH34&lt;INICIO!$D$32*2,INICIO!$D$33,0))+IF(AH35=0,0,IF(AH35&lt;INICIO!$D$32*2,INICIO!$D$33,0))+IF(AH36=0,0,IF(AH36&lt;INICIO!$D$32*2,INICIO!$D$33,0))+IF(AH37=0,0,IF(AH37&lt;INICIO!$D$32*2,INICIO!$D$33,0))+IF(AH38=0,0,IF(AH38&lt;INICIO!$D$32*2,INICIO!$D$33,0))+IF(AH39=0,0,IF(AH39&lt;INICIO!$D$32*2,INICIO!$D$33,0))+IF(AH40=0,0,IF(AH40&lt;INICIO!$D$32*2,INICIO!$D$33,0))+IF(AH41=0,0,IF(AH41&lt;INICIO!$D$32*2,INICIO!$D$33,0))+IF(AH42=0,0,IF(AH42&lt;INICIO!$D$32*2,INICIO!$D$33,0))+IF(AH43=0,0,IF(AH43&lt;INICIO!$D$32*2,INICIO!$D$33,0))+IF(AH44=0,0,IF(AH44&lt;INICIO!$D$32*2,INICIO!$D$33,0))+IF(AH45=0,0,IF(AH45&lt;INICIO!$D$32*2,INICIO!$D$33,0))+IF(AH46=0,0,IF(AH46&lt;INICIO!$D$32*2,INICIO!$D$33,0))</f>
        <v>588000</v>
      </c>
      <c r="AI48" s="37">
        <f>IF(AI31=0,0,IF(AI31&lt;INICIO!$D$32*2,INICIO!$D$33,0))+IF(AI32=0,0,IF(AI32&lt;INICIO!$D$32*2,INICIO!$D$33,0))+IF(AI33=0,0,IF(AI33&lt;INICIO!$D$32*2,INICIO!$D$33,0))+IF(AI34=0,0,IF(AI34&lt;INICIO!$D$32*2,INICIO!$D$33,0))+IF(AI35=0,0,IF(AI35&lt;INICIO!$D$32*2,INICIO!$D$33,0))+IF(AI36=0,0,IF(AI36&lt;INICIO!$D$32*2,INICIO!$D$33,0))+IF(AI37=0,0,IF(AI37&lt;INICIO!$D$32*2,INICIO!$D$33,0))+IF(AI38=0,0,IF(AI38&lt;INICIO!$D$32*2,INICIO!$D$33,0))+IF(AI39=0,0,IF(AI39&lt;INICIO!$D$32*2,INICIO!$D$33,0))+IF(AI40=0,0,IF(AI40&lt;INICIO!$D$32*2,INICIO!$D$33,0))+IF(AI41=0,0,IF(AI41&lt;INICIO!$D$32*2,INICIO!$D$33,0))+IF(AI42=0,0,IF(AI42&lt;INICIO!$D$32*2,INICIO!$D$33,0))+IF(AI43=0,0,IF(AI43&lt;INICIO!$D$32*2,INICIO!$D$33,0))+IF(AI44=0,0,IF(AI44&lt;INICIO!$D$32*2,INICIO!$D$33,0))+IF(AI45=0,0,IF(AI45&lt;INICIO!$D$32*2,INICIO!$D$33,0))+IF(AI46=0,0,IF(AI46&lt;INICIO!$D$32*2,INICIO!$D$33,0))</f>
        <v>588000</v>
      </c>
      <c r="AJ48" s="37">
        <f>IF(AJ31=0,0,IF(AJ31&lt;INICIO!$D$32*2,INICIO!$D$33,0))+IF(AJ32=0,0,IF(AJ32&lt;INICIO!$D$32*2,INICIO!$D$33,0))+IF(AJ33=0,0,IF(AJ33&lt;INICIO!$D$32*2,INICIO!$D$33,0))+IF(AJ34=0,0,IF(AJ34&lt;INICIO!$D$32*2,INICIO!$D$33,0))+IF(AJ35=0,0,IF(AJ35&lt;INICIO!$D$32*2,INICIO!$D$33,0))+IF(AJ36=0,0,IF(AJ36&lt;INICIO!$D$32*2,INICIO!$D$33,0))+IF(AJ37=0,0,IF(AJ37&lt;INICIO!$D$32*2,INICIO!$D$33,0))+IF(AJ38=0,0,IF(AJ38&lt;INICIO!$D$32*2,INICIO!$D$33,0))+IF(AJ39=0,0,IF(AJ39&lt;INICIO!$D$32*2,INICIO!$D$33,0))+IF(AJ40=0,0,IF(AJ40&lt;INICIO!$D$32*2,INICIO!$D$33,0))+IF(AJ41=0,0,IF(AJ41&lt;INICIO!$D$32*2,INICIO!$D$33,0))+IF(AJ42=0,0,IF(AJ42&lt;INICIO!$D$32*2,INICIO!$D$33,0))+IF(AJ43=0,0,IF(AJ43&lt;INICIO!$D$32*2,INICIO!$D$33,0))+IF(AJ44=0,0,IF(AJ44&lt;INICIO!$D$32*2,INICIO!$D$33,0))+IF(AJ45=0,0,IF(AJ45&lt;INICIO!$D$32*2,INICIO!$D$33,0))+IF(AJ46=0,0,IF(AJ46&lt;INICIO!$D$32*2,INICIO!$D$33,0))</f>
        <v>588000</v>
      </c>
      <c r="AK48" s="37">
        <f>IF(AK31=0,0,IF(AK31&lt;INICIO!$D$32*2,INICIO!$D$33,0))+IF(AK32=0,0,IF(AK32&lt;INICIO!$D$32*2,INICIO!$D$33,0))+IF(AK33=0,0,IF(AK33&lt;INICIO!$D$32*2,INICIO!$D$33,0))+IF(AK34=0,0,IF(AK34&lt;INICIO!$D$32*2,INICIO!$D$33,0))+IF(AK35=0,0,IF(AK35&lt;INICIO!$D$32*2,INICIO!$D$33,0))+IF(AK36=0,0,IF(AK36&lt;INICIO!$D$32*2,INICIO!$D$33,0))+IF(AK37=0,0,IF(AK37&lt;INICIO!$D$32*2,INICIO!$D$33,0))+IF(AK38=0,0,IF(AK38&lt;INICIO!$D$32*2,INICIO!$D$33,0))+IF(AK39=0,0,IF(AK39&lt;INICIO!$D$32*2,INICIO!$D$33,0))+IF(AK40=0,0,IF(AK40&lt;INICIO!$D$32*2,INICIO!$D$33,0))+IF(AK41=0,0,IF(AK41&lt;INICIO!$D$32*2,INICIO!$D$33,0))+IF(AK42=0,0,IF(AK42&lt;INICIO!$D$32*2,INICIO!$D$33,0))+IF(AK43=0,0,IF(AK43&lt;INICIO!$D$32*2,INICIO!$D$33,0))+IF(AK44=0,0,IF(AK44&lt;INICIO!$D$32*2,INICIO!$D$33,0))+IF(AK45=0,0,IF(AK45&lt;INICIO!$D$32*2,INICIO!$D$33,0))+IF(AK46=0,0,IF(AK46&lt;INICIO!$D$32*2,INICIO!$D$33,0))</f>
        <v>588000</v>
      </c>
      <c r="AL48" s="37">
        <f>IF(AL31=0,0,IF(AL31&lt;INICIO!$E$32*2,INICIO!$E$33,0))+IF(AL32=0,0,IF(AL32&lt;INICIO!$E$32*2,INICIO!$E$33,0))+IF(AL33=0,0,IF(AL33&lt;INICIO!$E$32*2,INICIO!$E$33,0))+IF(AL34=0,0,IF(AL34&lt;INICIO!$E$32*2,INICIO!$E$33,0))+IF(AL35=0,0,IF(AL35&lt;INICIO!$E$32*2,INICIO!$E$33,0))+IF(AL36=0,0,IF(AL36&lt;INICIO!$E$32*2,INICIO!$E$33,0))+IF(AL37=0,0,IF(AL37&lt;INICIO!$E$32*2,INICIO!$E$33,0))+IF(AL38=0,0,IF(AL38&lt;INICIO!$E$32*2,INICIO!$E$33,0))+IF(AL39=0,0,IF(AL39&lt;INICIO!$E$32*2,INICIO!$E$33,0))+IF(AL40=0,0,IF(AL40&lt;INICIO!$E$32*2,INICIO!$E$33,0))+IF(AL41=0,0,IF(AL41&lt;INICIO!$E$32*2,INICIO!$E$33,0))+IF(AL42=0,0,IF(AL42&lt;INICIO!$E$32*2,INICIO!$E$33,0))+IF(AL43=0,0,IF(AL43&lt;INICIO!$E$32*2,INICIO!$E$33,0))+IF(AL44=0,0,IF(AL44&lt;INICIO!$E$32*2,INICIO!$E$33,0))+IF(AL45=0,0,IF(AL45&lt;INICIO!$E$32*2,INICIO!$E$33,0))+IF(AL46=0,0,IF(AL46&lt;INICIO!$E$32*2,INICIO!$E$33,0))</f>
        <v>612000</v>
      </c>
      <c r="AM48" s="37">
        <f>IF(AM31=0,0,IF(AM31&lt;INICIO!$E$32*2,INICIO!$E$33,0))+IF(AM32=0,0,IF(AM32&lt;INICIO!$E$32*2,INICIO!$E$33,0))+IF(AM33=0,0,IF(AM33&lt;INICIO!$E$32*2,INICIO!$E$33,0))+IF(AM34=0,0,IF(AM34&lt;INICIO!$E$32*2,INICIO!$E$33,0))+IF(AM35=0,0,IF(AM35&lt;INICIO!$E$32*2,INICIO!$E$33,0))+IF(AM36=0,0,IF(AM36&lt;INICIO!$E$32*2,INICIO!$E$33,0))+IF(AM37=0,0,IF(AM37&lt;INICIO!$E$32*2,INICIO!$E$33,0))+IF(AM38=0,0,IF(AM38&lt;INICIO!$E$32*2,INICIO!$E$33,0))+IF(AM39=0,0,IF(AM39&lt;INICIO!$E$32*2,INICIO!$E$33,0))+IF(AM40=0,0,IF(AM40&lt;INICIO!$E$32*2,INICIO!$E$33,0))+IF(AM41=0,0,IF(AM41&lt;INICIO!$E$32*2,INICIO!$E$33,0))+IF(AM42=0,0,IF(AM42&lt;INICIO!$E$32*2,INICIO!$E$33,0))+IF(AM43=0,0,IF(AM43&lt;INICIO!$E$32*2,INICIO!$E$33,0))+IF(AM44=0,0,IF(AM44&lt;INICIO!$E$32*2,INICIO!$E$33,0))+IF(AM45=0,0,IF(AM45&lt;INICIO!$E$32*2,INICIO!$E$33,0))+IF(AM46=0,0,IF(AM46&lt;INICIO!$E$32*2,INICIO!$E$33,0))</f>
        <v>612000</v>
      </c>
      <c r="AN48" s="37">
        <f>IF(AN31=0,0,IF(AN31&lt;INICIO!$E$32*2,INICIO!$E$33,0))+IF(AN32=0,0,IF(AN32&lt;INICIO!$E$32*2,INICIO!$E$33,0))+IF(AN33=0,0,IF(AN33&lt;INICIO!$E$32*2,INICIO!$E$33,0))+IF(AN34=0,0,IF(AN34&lt;INICIO!$E$32*2,INICIO!$E$33,0))+IF(AN35=0,0,IF(AN35&lt;INICIO!$E$32*2,INICIO!$E$33,0))+IF(AN36=0,0,IF(AN36&lt;INICIO!$E$32*2,INICIO!$E$33,0))+IF(AN37=0,0,IF(AN37&lt;INICIO!$E$32*2,INICIO!$E$33,0))+IF(AN38=0,0,IF(AN38&lt;INICIO!$E$32*2,INICIO!$E$33,0))+IF(AN39=0,0,IF(AN39&lt;INICIO!$E$32*2,INICIO!$E$33,0))+IF(AN40=0,0,IF(AN40&lt;INICIO!$E$32*2,INICIO!$E$33,0))+IF(AN41=0,0,IF(AN41&lt;INICIO!$E$32*2,INICIO!$E$33,0))+IF(AN42=0,0,IF(AN42&lt;INICIO!$E$32*2,INICIO!$E$33,0))+IF(AN43=0,0,IF(AN43&lt;INICIO!$E$32*2,INICIO!$E$33,0))+IF(AN44=0,0,IF(AN44&lt;INICIO!$E$32*2,INICIO!$E$33,0))+IF(AN45=0,0,IF(AN45&lt;INICIO!$E$32*2,INICIO!$E$33,0))+IF(AN46=0,0,IF(AN46&lt;INICIO!$E$32*2,INICIO!$E$33,0))</f>
        <v>612000</v>
      </c>
      <c r="AO48" s="37">
        <f>IF(AO31=0,0,IF(AO31&lt;INICIO!$E$32*2,INICIO!$E$33,0))+IF(AO32=0,0,IF(AO32&lt;INICIO!$E$32*2,INICIO!$E$33,0))+IF(AO33=0,0,IF(AO33&lt;INICIO!$E$32*2,INICIO!$E$33,0))+IF(AO34=0,0,IF(AO34&lt;INICIO!$E$32*2,INICIO!$E$33,0))+IF(AO35=0,0,IF(AO35&lt;INICIO!$E$32*2,INICIO!$E$33,0))+IF(AO36=0,0,IF(AO36&lt;INICIO!$E$32*2,INICIO!$E$33,0))+IF(AO37=0,0,IF(AO37&lt;INICIO!$E$32*2,INICIO!$E$33,0))+IF(AO38=0,0,IF(AO38&lt;INICIO!$E$32*2,INICIO!$E$33,0))+IF(AO39=0,0,IF(AO39&lt;INICIO!$E$32*2,INICIO!$E$33,0))+IF(AO40=0,0,IF(AO40&lt;INICIO!$E$32*2,INICIO!$E$33,0))+IF(AO41=0,0,IF(AO41&lt;INICIO!$E$32*2,INICIO!$E$33,0))+IF(AO42=0,0,IF(AO42&lt;INICIO!$E$32*2,INICIO!$E$33,0))+IF(AO43=0,0,IF(AO43&lt;INICIO!$E$32*2,INICIO!$E$33,0))+IF(AO44=0,0,IF(AO44&lt;INICIO!$E$32*2,INICIO!$E$33,0))+IF(AO45=0,0,IF(AO45&lt;INICIO!$E$32*2,INICIO!$E$33,0))+IF(AO46=0,0,IF(AO46&lt;INICIO!$E$32*2,INICIO!$E$33,0))</f>
        <v>612000</v>
      </c>
      <c r="AP48" s="37">
        <f>IF(AP31=0,0,IF(AP31&lt;INICIO!$E$32*2,INICIO!$E$33,0))+IF(AP32=0,0,IF(AP32&lt;INICIO!$E$32*2,INICIO!$E$33,0))+IF(AP33=0,0,IF(AP33&lt;INICIO!$E$32*2,INICIO!$E$33,0))+IF(AP34=0,0,IF(AP34&lt;INICIO!$E$32*2,INICIO!$E$33,0))+IF(AP35=0,0,IF(AP35&lt;INICIO!$E$32*2,INICIO!$E$33,0))+IF(AP36=0,0,IF(AP36&lt;INICIO!$E$32*2,INICIO!$E$33,0))+IF(AP37=0,0,IF(AP37&lt;INICIO!$E$32*2,INICIO!$E$33,0))+IF(AP38=0,0,IF(AP38&lt;INICIO!$E$32*2,INICIO!$E$33,0))+IF(AP39=0,0,IF(AP39&lt;INICIO!$E$32*2,INICIO!$E$33,0))+IF(AP40=0,0,IF(AP40&lt;INICIO!$E$32*2,INICIO!$E$33,0))+IF(AP41=0,0,IF(AP41&lt;INICIO!$E$32*2,INICIO!$E$33,0))+IF(AP42=0,0,IF(AP42&lt;INICIO!$E$32*2,INICIO!$E$33,0))+IF(AP43=0,0,IF(AP43&lt;INICIO!$E$32*2,INICIO!$E$33,0))+IF(AP44=0,0,IF(AP44&lt;INICIO!$E$32*2,INICIO!$E$33,0))+IF(AP45=0,0,IF(AP45&lt;INICIO!$E$32*2,INICIO!$E$33,0))+IF(AP46=0,0,IF(AP46&lt;INICIO!$E$32*2,INICIO!$E$33,0))</f>
        <v>612000</v>
      </c>
      <c r="AQ48" s="37">
        <f>IF(AQ31=0,0,IF(AQ31&lt;INICIO!$E$32*2,INICIO!$E$33,0))+IF(AQ32=0,0,IF(AQ32&lt;INICIO!$E$32*2,INICIO!$E$33,0))+IF(AQ33=0,0,IF(AQ33&lt;INICIO!$E$32*2,INICIO!$E$33,0))+IF(AQ34=0,0,IF(AQ34&lt;INICIO!$E$32*2,INICIO!$E$33,0))+IF(AQ35=0,0,IF(AQ35&lt;INICIO!$E$32*2,INICIO!$E$33,0))+IF(AQ36=0,0,IF(AQ36&lt;INICIO!$E$32*2,INICIO!$E$33,0))+IF(AQ37=0,0,IF(AQ37&lt;INICIO!$E$32*2,INICIO!$E$33,0))+IF(AQ38=0,0,IF(AQ38&lt;INICIO!$E$32*2,INICIO!$E$33,0))+IF(AQ39=0,0,IF(AQ39&lt;INICIO!$E$32*2,INICIO!$E$33,0))+IF(AQ40=0,0,IF(AQ40&lt;INICIO!$E$32*2,INICIO!$E$33,0))+IF(AQ41=0,0,IF(AQ41&lt;INICIO!$E$32*2,INICIO!$E$33,0))+IF(AQ42=0,0,IF(AQ42&lt;INICIO!$E$32*2,INICIO!$E$33,0))+IF(AQ43=0,0,IF(AQ43&lt;INICIO!$E$32*2,INICIO!$E$33,0))+IF(AQ44=0,0,IF(AQ44&lt;INICIO!$E$32*2,INICIO!$E$33,0))+IF(AQ45=0,0,IF(AQ45&lt;INICIO!$E$32*2,INICIO!$E$33,0))+IF(AQ46=0,0,IF(AQ46&lt;INICIO!$E$32*2,INICIO!$E$33,0))</f>
        <v>612000</v>
      </c>
      <c r="AR48" s="37">
        <f>IF(AR31=0,0,IF(AR31&lt;INICIO!$E$32*2,INICIO!$E$33,0))+IF(AR32=0,0,IF(AR32&lt;INICIO!$E$32*2,INICIO!$E$33,0))+IF(AR33=0,0,IF(AR33&lt;INICIO!$E$32*2,INICIO!$E$33,0))+IF(AR34=0,0,IF(AR34&lt;INICIO!$E$32*2,INICIO!$E$33,0))+IF(AR35=0,0,IF(AR35&lt;INICIO!$E$32*2,INICIO!$E$33,0))+IF(AR36=0,0,IF(AR36&lt;INICIO!$E$32*2,INICIO!$E$33,0))+IF(AR37=0,0,IF(AR37&lt;INICIO!$E$32*2,INICIO!$E$33,0))+IF(AR38=0,0,IF(AR38&lt;INICIO!$E$32*2,INICIO!$E$33,0))+IF(AR39=0,0,IF(AR39&lt;INICIO!$E$32*2,INICIO!$E$33,0))+IF(AR40=0,0,IF(AR40&lt;INICIO!$E$32*2,INICIO!$E$33,0))+IF(AR41=0,0,IF(AR41&lt;INICIO!$E$32*2,INICIO!$E$33,0))+IF(AR42=0,0,IF(AR42&lt;INICIO!$E$32*2,INICIO!$E$33,0))+IF(AR43=0,0,IF(AR43&lt;INICIO!$E$32*2,INICIO!$E$33,0))+IF(AR44=0,0,IF(AR44&lt;INICIO!$E$32*2,INICIO!$E$33,0))+IF(AR45=0,0,IF(AR45&lt;INICIO!$E$32*2,INICIO!$E$33,0))+IF(AR46=0,0,IF(AR46&lt;INICIO!$E$32*2,INICIO!$E$33,0))</f>
        <v>612000</v>
      </c>
      <c r="AS48" s="37">
        <f>IF(AS31=0,0,IF(AS31&lt;INICIO!$E$32*2,INICIO!$E$33,0))+IF(AS32=0,0,IF(AS32&lt;INICIO!$E$32*2,INICIO!$E$33,0))+IF(AS33=0,0,IF(AS33&lt;INICIO!$E$32*2,INICIO!$E$33,0))+IF(AS34=0,0,IF(AS34&lt;INICIO!$E$32*2,INICIO!$E$33,0))+IF(AS35=0,0,IF(AS35&lt;INICIO!$E$32*2,INICIO!$E$33,0))+IF(AS36=0,0,IF(AS36&lt;INICIO!$E$32*2,INICIO!$E$33,0))+IF(AS37=0,0,IF(AS37&lt;INICIO!$E$32*2,INICIO!$E$33,0))+IF(AS38=0,0,IF(AS38&lt;INICIO!$E$32*2,INICIO!$E$33,0))+IF(AS39=0,0,IF(AS39&lt;INICIO!$E$32*2,INICIO!$E$33,0))+IF(AS40=0,0,IF(AS40&lt;INICIO!$E$32*2,INICIO!$E$33,0))+IF(AS41=0,0,IF(AS41&lt;INICIO!$E$32*2,INICIO!$E$33,0))+IF(AS42=0,0,IF(AS42&lt;INICIO!$E$32*2,INICIO!$E$33,0))+IF(AS43=0,0,IF(AS43&lt;INICIO!$E$32*2,INICIO!$E$33,0))+IF(AS44=0,0,IF(AS44&lt;INICIO!$E$32*2,INICIO!$E$33,0))+IF(AS45=0,0,IF(AS45&lt;INICIO!$E$32*2,INICIO!$E$33,0))+IF(AS46=0,0,IF(AS46&lt;INICIO!$E$32*2,INICIO!$E$33,0))</f>
        <v>612000</v>
      </c>
      <c r="AT48" s="37">
        <f>IF(AT31=0,0,IF(AT31&lt;INICIO!$E$32*2,INICIO!$E$33,0))+IF(AT32=0,0,IF(AT32&lt;INICIO!$E$32*2,INICIO!$E$33,0))+IF(AT33=0,0,IF(AT33&lt;INICIO!$E$32*2,INICIO!$E$33,0))+IF(AT34=0,0,IF(AT34&lt;INICIO!$E$32*2,INICIO!$E$33,0))+IF(AT35=0,0,IF(AT35&lt;INICIO!$E$32*2,INICIO!$E$33,0))+IF(AT36=0,0,IF(AT36&lt;INICIO!$E$32*2,INICIO!$E$33,0))+IF(AT37=0,0,IF(AT37&lt;INICIO!$E$32*2,INICIO!$E$33,0))+IF(AT38=0,0,IF(AT38&lt;INICIO!$E$32*2,INICIO!$E$33,0))+IF(AT39=0,0,IF(AT39&lt;INICIO!$E$32*2,INICIO!$E$33,0))+IF(AT40=0,0,IF(AT40&lt;INICIO!$E$32*2,INICIO!$E$33,0))+IF(AT41=0,0,IF(AT41&lt;INICIO!$E$32*2,INICIO!$E$33,0))+IF(AT42=0,0,IF(AT42&lt;INICIO!$E$32*2,INICIO!$E$33,0))+IF(AT43=0,0,IF(AT43&lt;INICIO!$E$32*2,INICIO!$E$33,0))+IF(AT44=0,0,IF(AT44&lt;INICIO!$E$32*2,INICIO!$E$33,0))+IF(AT45=0,0,IF(AT45&lt;INICIO!$E$32*2,INICIO!$E$33,0))+IF(AT46=0,0,IF(AT46&lt;INICIO!$E$32*2,INICIO!$E$33,0))</f>
        <v>612000</v>
      </c>
      <c r="AU48" s="37">
        <f>IF(AU31=0,0,IF(AU31&lt;INICIO!$E$32*2,INICIO!$E$33,0))+IF(AU32=0,0,IF(AU32&lt;INICIO!$E$32*2,INICIO!$E$33,0))+IF(AU33=0,0,IF(AU33&lt;INICIO!$E$32*2,INICIO!$E$33,0))+IF(AU34=0,0,IF(AU34&lt;INICIO!$E$32*2,INICIO!$E$33,0))+IF(AU35=0,0,IF(AU35&lt;INICIO!$E$32*2,INICIO!$E$33,0))+IF(AU36=0,0,IF(AU36&lt;INICIO!$E$32*2,INICIO!$E$33,0))+IF(AU37=0,0,IF(AU37&lt;INICIO!$E$32*2,INICIO!$E$33,0))+IF(AU38=0,0,IF(AU38&lt;INICIO!$E$32*2,INICIO!$E$33,0))+IF(AU39=0,0,IF(AU39&lt;INICIO!$E$32*2,INICIO!$E$33,0))+IF(AU40=0,0,IF(AU40&lt;INICIO!$E$32*2,INICIO!$E$33,0))+IF(AU41=0,0,IF(AU41&lt;INICIO!$E$32*2,INICIO!$E$33,0))+IF(AU42=0,0,IF(AU42&lt;INICIO!$E$32*2,INICIO!$E$33,0))+IF(AU43=0,0,IF(AU43&lt;INICIO!$E$32*2,INICIO!$E$33,0))+IF(AU44=0,0,IF(AU44&lt;INICIO!$E$32*2,INICIO!$E$33,0))+IF(AU45=0,0,IF(AU45&lt;INICIO!$E$32*2,INICIO!$E$33,0))+IF(AU46=0,0,IF(AU46&lt;INICIO!$E$32*2,INICIO!$E$33,0))</f>
        <v>612000</v>
      </c>
      <c r="AV48" s="37">
        <f>IF(AV31=0,0,IF(AV31&lt;INICIO!$E$32*2,INICIO!$E$33,0))+IF(AV32=0,0,IF(AV32&lt;INICIO!$E$32*2,INICIO!$E$33,0))+IF(AV33=0,0,IF(AV33&lt;INICIO!$E$32*2,INICIO!$E$33,0))+IF(AV34=0,0,IF(AV34&lt;INICIO!$E$32*2,INICIO!$E$33,0))+IF(AV35=0,0,IF(AV35&lt;INICIO!$E$32*2,INICIO!$E$33,0))+IF(AV36=0,0,IF(AV36&lt;INICIO!$E$32*2,INICIO!$E$33,0))+IF(AV37=0,0,IF(AV37&lt;INICIO!$E$32*2,INICIO!$E$33,0))+IF(AV38=0,0,IF(AV38&lt;INICIO!$E$32*2,INICIO!$E$33,0))+IF(AV39=0,0,IF(AV39&lt;INICIO!$E$32*2,INICIO!$E$33,0))+IF(AV40=0,0,IF(AV40&lt;INICIO!$E$32*2,INICIO!$E$33,0))+IF(AV41=0,0,IF(AV41&lt;INICIO!$E$32*2,INICIO!$E$33,0))+IF(AV42=0,0,IF(AV42&lt;INICIO!$E$32*2,INICIO!$E$33,0))+IF(AV43=0,0,IF(AV43&lt;INICIO!$E$32*2,INICIO!$E$33,0))+IF(AV44=0,0,IF(AV44&lt;INICIO!$E$32*2,INICIO!$E$33,0))+IF(AV45=0,0,IF(AV45&lt;INICIO!$E$32*2,INICIO!$E$33,0))+IF(AV46=0,0,IF(AV46&lt;INICIO!$E$32*2,INICIO!$E$33,0))</f>
        <v>612000</v>
      </c>
      <c r="AW48" s="37">
        <f>IF(AW31=0,0,IF(AW31&lt;INICIO!$E$32*2,INICIO!$E$33,0))+IF(AW32=0,0,IF(AW32&lt;INICIO!$E$32*2,INICIO!$E$33,0))+IF(AW33=0,0,IF(AW33&lt;INICIO!$E$32*2,INICIO!$E$33,0))+IF(AW34=0,0,IF(AW34&lt;INICIO!$E$32*2,INICIO!$E$33,0))+IF(AW35=0,0,IF(AW35&lt;INICIO!$E$32*2,INICIO!$E$33,0))+IF(AW36=0,0,IF(AW36&lt;INICIO!$E$32*2,INICIO!$E$33,0))+IF(AW37=0,0,IF(AW37&lt;INICIO!$E$32*2,INICIO!$E$33,0))+IF(AW38=0,0,IF(AW38&lt;INICIO!$E$32*2,INICIO!$E$33,0))+IF(AW39=0,0,IF(AW39&lt;INICIO!$E$32*2,INICIO!$E$33,0))+IF(AW40=0,0,IF(AW40&lt;INICIO!$E$32*2,INICIO!$E$33,0))+IF(AW41=0,0,IF(AW41&lt;INICIO!$E$32*2,INICIO!$E$33,0))+IF(AW42=0,0,IF(AW42&lt;INICIO!$E$32*2,INICIO!$E$33,0))+IF(AW43=0,0,IF(AW43&lt;INICIO!$E$32*2,INICIO!$E$33,0))+IF(AW44=0,0,IF(AW44&lt;INICIO!$E$32*2,INICIO!$E$33,0))+IF(AW45=0,0,IF(AW45&lt;INICIO!$E$32*2,INICIO!$E$33,0))+IF(AW46=0,0,IF(AW46&lt;INICIO!$E$32*2,INICIO!$E$33,0))</f>
        <v>612000</v>
      </c>
      <c r="AX48" s="37">
        <f>IF(AX31=0,0,IF(AX31&lt;INICIO!$F$32*2,INICIO!$F$33,0))+IF(AX32=0,0,IF(AX32&lt;INICIO!$F$32*2,INICIO!$F$33,0))+IF(AX33=0,0,IF(AX33&lt;INICIO!$F$32*2,INICIO!$F$33,0))+IF(AX34=0,0,IF(AX34&lt;INICIO!$F$32*2,INICIO!$F$33,0))+IF(AX35=0,0,IF(AX35&lt;INICIO!$F$32*2,INICIO!$F$33,0))+IF(AX36=0,0,IF(AX36&lt;INICIO!$F$32*2,INICIO!$F$33,0))+IF(AX37=0,0,IF(AX37&lt;INICIO!$F$32*2,INICIO!$F$33,0))+IF(AX38=0,0,IF(AX38&lt;INICIO!$F$32*2,INICIO!$F$33,0))+IF(AX39=0,0,IF(AX39&lt;INICIO!$F$32*2,INICIO!$F$33,0))+IF(AX40=0,0,IF(AX40&lt;INICIO!$F$32*2,INICIO!$F$33,0))+IF(AX41=0,0,IF(AX41&lt;INICIO!$F$32*2,INICIO!$F$33,0))+IF(AX42=0,0,IF(AX42&lt;INICIO!$F$32*2,INICIO!$F$33,0))+IF(AX43=0,0,IF(AX43&lt;INICIO!$F$32*2,INICIO!$F$33,0))+IF(AX44=0,0,IF(AX44&lt;INICIO!$F$32*2,INICIO!$F$33,0))+IF(AX45=0,0,IF(AX45&lt;INICIO!$F$32*2,INICIO!$F$33,0))+IF(AX46=0,0,IF(AX46&lt;INICIO!$F$32*2,INICIO!$F$33,0))</f>
        <v>636000</v>
      </c>
      <c r="AY48" s="37">
        <f>IF(AY31=0,0,IF(AY31&lt;INICIO!$F$32*2,INICIO!$F$33,0))+IF(AY32=0,0,IF(AY32&lt;INICIO!$F$32*2,INICIO!$F$33,0))+IF(AY33=0,0,IF(AY33&lt;INICIO!$F$32*2,INICIO!$F$33,0))+IF(AY34=0,0,IF(AY34&lt;INICIO!$F$32*2,INICIO!$F$33,0))+IF(AY35=0,0,IF(AY35&lt;INICIO!$F$32*2,INICIO!$F$33,0))+IF(AY36=0,0,IF(AY36&lt;INICIO!$F$32*2,INICIO!$F$33,0))+IF(AY37=0,0,IF(AY37&lt;INICIO!$F$32*2,INICIO!$F$33,0))+IF(AY38=0,0,IF(AY38&lt;INICIO!$F$32*2,INICIO!$F$33,0))+IF(AY39=0,0,IF(AY39&lt;INICIO!$F$32*2,INICIO!$F$33,0))+IF(AY40=0,0,IF(AY40&lt;INICIO!$F$32*2,INICIO!$F$33,0))+IF(AY41=0,0,IF(AY41&lt;INICIO!$F$32*2,INICIO!$F$33,0))+IF(AY42=0,0,IF(AY42&lt;INICIO!$F$32*2,INICIO!$F$33,0))+IF(AY43=0,0,IF(AY43&lt;INICIO!$F$32*2,INICIO!$F$33,0))+IF(AY44=0,0,IF(AY44&lt;INICIO!$F$32*2,INICIO!$F$33,0))+IF(AY45=0,0,IF(AY45&lt;INICIO!$F$32*2,INICIO!$F$33,0))+IF(AY46=0,0,IF(AY46&lt;INICIO!$F$32*2,INICIO!$F$33,0))</f>
        <v>0</v>
      </c>
      <c r="AZ48" s="37">
        <f>IF(AZ31=0,0,IF(AZ31&lt;INICIO!$F$32*2,INICIO!$F$33,0))+IF(AZ32=0,0,IF(AZ32&lt;INICIO!$F$32*2,INICIO!$F$33,0))+IF(AZ33=0,0,IF(AZ33&lt;INICIO!$F$32*2,INICIO!$F$33,0))+IF(AZ34=0,0,IF(AZ34&lt;INICIO!$F$32*2,INICIO!$F$33,0))+IF(AZ35=0,0,IF(AZ35&lt;INICIO!$F$32*2,INICIO!$F$33,0))+IF(AZ36=0,0,IF(AZ36&lt;INICIO!$F$32*2,INICIO!$F$33,0))+IF(AZ37=0,0,IF(AZ37&lt;INICIO!$F$32*2,INICIO!$F$33,0))+IF(AZ38=0,0,IF(AZ38&lt;INICIO!$F$32*2,INICIO!$F$33,0))+IF(AZ39=0,0,IF(AZ39&lt;INICIO!$F$32*2,INICIO!$F$33,0))+IF(AZ40=0,0,IF(AZ40&lt;INICIO!$F$32*2,INICIO!$F$33,0))+IF(AZ41=0,0,IF(AZ41&lt;INICIO!$F$32*2,INICIO!$F$33,0))+IF(AZ42=0,0,IF(AZ42&lt;INICIO!$F$32*2,INICIO!$F$33,0))+IF(AZ43=0,0,IF(AZ43&lt;INICIO!$F$32*2,INICIO!$F$33,0))+IF(AZ44=0,0,IF(AZ44&lt;INICIO!$F$32*2,INICIO!$F$33,0))+IF(AZ45=0,0,IF(AZ45&lt;INICIO!$F$32*2,INICIO!$F$33,0))+IF(AZ46=0,0,IF(AZ46&lt;INICIO!$F$32*2,INICIO!$F$33,0))</f>
        <v>0</v>
      </c>
      <c r="BA48" s="37">
        <f>IF(BA31=0,0,IF(BA31&lt;INICIO!$F$32*2,INICIO!$F$33,0))+IF(BA32=0,0,IF(BA32&lt;INICIO!$F$32*2,INICIO!$F$33,0))+IF(BA33=0,0,IF(BA33&lt;INICIO!$F$32*2,INICIO!$F$33,0))+IF(BA34=0,0,IF(BA34&lt;INICIO!$F$32*2,INICIO!$F$33,0))+IF(BA35=0,0,IF(BA35&lt;INICIO!$F$32*2,INICIO!$F$33,0))+IF(BA36=0,0,IF(BA36&lt;INICIO!$F$32*2,INICIO!$F$33,0))+IF(BA37=0,0,IF(BA37&lt;INICIO!$F$32*2,INICIO!$F$33,0))+IF(BA38=0,0,IF(BA38&lt;INICIO!$F$32*2,INICIO!$F$33,0))+IF(BA39=0,0,IF(BA39&lt;INICIO!$F$32*2,INICIO!$F$33,0))+IF(BA40=0,0,IF(BA40&lt;INICIO!$F$32*2,INICIO!$F$33,0))+IF(BA41=0,0,IF(BA41&lt;INICIO!$F$32*2,INICIO!$F$33,0))+IF(BA42=0,0,IF(BA42&lt;INICIO!$F$32*2,INICIO!$F$33,0))+IF(BA43=0,0,IF(BA43&lt;INICIO!$F$32*2,INICIO!$F$33,0))+IF(BA44=0,0,IF(BA44&lt;INICIO!$F$32*2,INICIO!$F$33,0))+IF(BA45=0,0,IF(BA45&lt;INICIO!$F$32*2,INICIO!$F$33,0))+IF(BA46=0,0,IF(BA46&lt;INICIO!$F$32*2,INICIO!$F$33,0))</f>
        <v>0</v>
      </c>
      <c r="BB48" s="37">
        <f>IF(BB31=0,0,IF(BB31&lt;INICIO!$F$32*2,INICIO!$F$33,0))+IF(BB32=0,0,IF(BB32&lt;INICIO!$F$32*2,INICIO!$F$33,0))+IF(BB33=0,0,IF(BB33&lt;INICIO!$F$32*2,INICIO!$F$33,0))+IF(BB34=0,0,IF(BB34&lt;INICIO!$F$32*2,INICIO!$F$33,0))+IF(BB35=0,0,IF(BB35&lt;INICIO!$F$32*2,INICIO!$F$33,0))+IF(BB36=0,0,IF(BB36&lt;INICIO!$F$32*2,INICIO!$F$33,0))+IF(BB37=0,0,IF(BB37&lt;INICIO!$F$32*2,INICIO!$F$33,0))+IF(BB38=0,0,IF(BB38&lt;INICIO!$F$32*2,INICIO!$F$33,0))+IF(BB39=0,0,IF(BB39&lt;INICIO!$F$32*2,INICIO!$F$33,0))+IF(BB40=0,0,IF(BB40&lt;INICIO!$F$32*2,INICIO!$F$33,0))+IF(BB41=0,0,IF(BB41&lt;INICIO!$F$32*2,INICIO!$F$33,0))+IF(BB42=0,0,IF(BB42&lt;INICIO!$F$32*2,INICIO!$F$33,0))+IF(BB43=0,0,IF(BB43&lt;INICIO!$F$32*2,INICIO!$F$33,0))+IF(BB44=0,0,IF(BB44&lt;INICIO!$F$32*2,INICIO!$F$33,0))+IF(BB45=0,0,IF(BB45&lt;INICIO!$F$32*2,INICIO!$F$33,0))+IF(BB46=0,0,IF(BB46&lt;INICIO!$F$32*2,INICIO!$F$33,0))</f>
        <v>0</v>
      </c>
      <c r="BC48" s="37">
        <f>IF(BC31=0,0,IF(BC31&lt;INICIO!$F$32*2,INICIO!$F$33,0))+IF(BC32=0,0,IF(BC32&lt;INICIO!$F$32*2,INICIO!$F$33,0))+IF(BC33=0,0,IF(BC33&lt;INICIO!$F$32*2,INICIO!$F$33,0))+IF(BC34=0,0,IF(BC34&lt;INICIO!$F$32*2,INICIO!$F$33,0))+IF(BC35=0,0,IF(BC35&lt;INICIO!$F$32*2,INICIO!$F$33,0))+IF(BC36=0,0,IF(BC36&lt;INICIO!$F$32*2,INICIO!$F$33,0))+IF(BC37=0,0,IF(BC37&lt;INICIO!$F$32*2,INICIO!$F$33,0))+IF(BC38=0,0,IF(BC38&lt;INICIO!$F$32*2,INICIO!$F$33,0))+IF(BC39=0,0,IF(BC39&lt;INICIO!$F$32*2,INICIO!$F$33,0))+IF(BC40=0,0,IF(BC40&lt;INICIO!$F$32*2,INICIO!$F$33,0))+IF(BC41=0,0,IF(BC41&lt;INICIO!$F$32*2,INICIO!$F$33,0))+IF(BC42=0,0,IF(BC42&lt;INICIO!$F$32*2,INICIO!$F$33,0))+IF(BC43=0,0,IF(BC43&lt;INICIO!$F$32*2,INICIO!$F$33,0))+IF(BC44=0,0,IF(BC44&lt;INICIO!$F$32*2,INICIO!$F$33,0))+IF(BC45=0,0,IF(BC45&lt;INICIO!$F$32*2,INICIO!$F$33,0))+IF(BC46=0,0,IF(BC46&lt;INICIO!$F$32*2,INICIO!$F$33,0))</f>
        <v>0</v>
      </c>
      <c r="BD48" s="37">
        <f>IF(BD31=0,0,IF(BD31&lt;INICIO!$F$32*2,INICIO!$F$33,0))+IF(BD32=0,0,IF(BD32&lt;INICIO!$F$32*2,INICIO!$F$33,0))+IF(BD33=0,0,IF(BD33&lt;INICIO!$F$32*2,INICIO!$F$33,0))+IF(BD34=0,0,IF(BD34&lt;INICIO!$F$32*2,INICIO!$F$33,0))+IF(BD35=0,0,IF(BD35&lt;INICIO!$F$32*2,INICIO!$F$33,0))+IF(BD36=0,0,IF(BD36&lt;INICIO!$F$32*2,INICIO!$F$33,0))+IF(BD37=0,0,IF(BD37&lt;INICIO!$F$32*2,INICIO!$F$33,0))+IF(BD38=0,0,IF(BD38&lt;INICIO!$F$32*2,INICIO!$F$33,0))+IF(BD39=0,0,IF(BD39&lt;INICIO!$F$32*2,INICIO!$F$33,0))+IF(BD40=0,0,IF(BD40&lt;INICIO!$F$32*2,INICIO!$F$33,0))+IF(BD41=0,0,IF(BD41&lt;INICIO!$F$32*2,INICIO!$F$33,0))+IF(BD42=0,0,IF(BD42&lt;INICIO!$F$32*2,INICIO!$F$33,0))+IF(BD43=0,0,IF(BD43&lt;INICIO!$F$32*2,INICIO!$F$33,0))+IF(BD44=0,0,IF(BD44&lt;INICIO!$F$32*2,INICIO!$F$33,0))+IF(BD45=0,0,IF(BD45&lt;INICIO!$F$32*2,INICIO!$F$33,0))+IF(BD46=0,0,IF(BD46&lt;INICIO!$F$32*2,INICIO!$F$33,0))</f>
        <v>0</v>
      </c>
      <c r="BE48" s="37">
        <f>IF(BE31=0,0,IF(BE31&lt;INICIO!$F$32*2,INICIO!$F$33,0))+IF(BE32=0,0,IF(BE32&lt;INICIO!$F$32*2,INICIO!$F$33,0))+IF(BE33=0,0,IF(BE33&lt;INICIO!$F$32*2,INICIO!$F$33,0))+IF(BE34=0,0,IF(BE34&lt;INICIO!$F$32*2,INICIO!$F$33,0))+IF(BE35=0,0,IF(BE35&lt;INICIO!$F$32*2,INICIO!$F$33,0))+IF(BE36=0,0,IF(BE36&lt;INICIO!$F$32*2,INICIO!$F$33,0))+IF(BE37=0,0,IF(BE37&lt;INICIO!$F$32*2,INICIO!$F$33,0))+IF(BE38=0,0,IF(BE38&lt;INICIO!$F$32*2,INICIO!$F$33,0))+IF(BE39=0,0,IF(BE39&lt;INICIO!$F$32*2,INICIO!$F$33,0))+IF(BE40=0,0,IF(BE40&lt;INICIO!$F$32*2,INICIO!$F$33,0))+IF(BE41=0,0,IF(BE41&lt;INICIO!$F$32*2,INICIO!$F$33,0))+IF(BE42=0,0,IF(BE42&lt;INICIO!$F$32*2,INICIO!$F$33,0))+IF(BE43=0,0,IF(BE43&lt;INICIO!$F$32*2,INICIO!$F$33,0))+IF(BE44=0,0,IF(BE44&lt;INICIO!$F$32*2,INICIO!$F$33,0))+IF(BE45=0,0,IF(BE45&lt;INICIO!$F$32*2,INICIO!$F$33,0))+IF(BE46=0,0,IF(BE46&lt;INICIO!$F$32*2,INICIO!$F$33,0))</f>
        <v>0</v>
      </c>
      <c r="BF48" s="37">
        <f>IF(BF31=0,0,IF(BF31&lt;INICIO!$F$32*2,INICIO!$F$33,0))+IF(BF32=0,0,IF(BF32&lt;INICIO!$F$32*2,INICIO!$F$33,0))+IF(BF33=0,0,IF(BF33&lt;INICIO!$F$32*2,INICIO!$F$33,0))+IF(BF34=0,0,IF(BF34&lt;INICIO!$F$32*2,INICIO!$F$33,0))+IF(BF35=0,0,IF(BF35&lt;INICIO!$F$32*2,INICIO!$F$33,0))+IF(BF36=0,0,IF(BF36&lt;INICIO!$F$32*2,INICIO!$F$33,0))+IF(BF37=0,0,IF(BF37&lt;INICIO!$F$32*2,INICIO!$F$33,0))+IF(BF38=0,0,IF(BF38&lt;INICIO!$F$32*2,INICIO!$F$33,0))+IF(BF39=0,0,IF(BF39&lt;INICIO!$F$32*2,INICIO!$F$33,0))+IF(BF40=0,0,IF(BF40&lt;INICIO!$F$32*2,INICIO!$F$33,0))+IF(BF41=0,0,IF(BF41&lt;INICIO!$F$32*2,INICIO!$F$33,0))+IF(BF42=0,0,IF(BF42&lt;INICIO!$F$32*2,INICIO!$F$33,0))+IF(BF43=0,0,IF(BF43&lt;INICIO!$F$32*2,INICIO!$F$33,0))+IF(BF44=0,0,IF(BF44&lt;INICIO!$F$32*2,INICIO!$F$33,0))+IF(BF45=0,0,IF(BF45&lt;INICIO!$F$32*2,INICIO!$F$33,0))+IF(BF46=0,0,IF(BF46&lt;INICIO!$F$32*2,INICIO!$F$33,0))</f>
        <v>0</v>
      </c>
      <c r="BG48" s="37">
        <f>IF(BG31=0,0,IF(BG31&lt;INICIO!$F$32*2,INICIO!$F$33,0))+IF(BG32=0,0,IF(BG32&lt;INICIO!$F$32*2,INICIO!$F$33,0))+IF(BG33=0,0,IF(BG33&lt;INICIO!$F$32*2,INICIO!$F$33,0))+IF(BG34=0,0,IF(BG34&lt;INICIO!$F$32*2,INICIO!$F$33,0))+IF(BG35=0,0,IF(BG35&lt;INICIO!$F$32*2,INICIO!$F$33,0))+IF(BG36=0,0,IF(BG36&lt;INICIO!$F$32*2,INICIO!$F$33,0))+IF(BG37=0,0,IF(BG37&lt;INICIO!$F$32*2,INICIO!$F$33,0))+IF(BG38=0,0,IF(BG38&lt;INICIO!$F$32*2,INICIO!$F$33,0))+IF(BG39=0,0,IF(BG39&lt;INICIO!$F$32*2,INICIO!$F$33,0))+IF(BG40=0,0,IF(BG40&lt;INICIO!$F$32*2,INICIO!$F$33,0))+IF(BG41=0,0,IF(BG41&lt;INICIO!$F$32*2,INICIO!$F$33,0))+IF(BG42=0,0,IF(BG42&lt;INICIO!$F$32*2,INICIO!$F$33,0))+IF(BG43=0,0,IF(BG43&lt;INICIO!$F$32*2,INICIO!$F$33,0))+IF(BG44=0,0,IF(BG44&lt;INICIO!$F$32*2,INICIO!$F$33,0))+IF(BG45=0,0,IF(BG45&lt;INICIO!$F$32*2,INICIO!$F$33,0))+IF(BG46=0,0,IF(BG46&lt;INICIO!$F$32*2,INICIO!$F$33,0))</f>
        <v>0</v>
      </c>
      <c r="BH48" s="37">
        <f>IF(BH31=0,0,IF(BH31&lt;INICIO!$F$32*2,INICIO!$F$33,0))+IF(BH32=0,0,IF(BH32&lt;INICIO!$F$32*2,INICIO!$F$33,0))+IF(BH33=0,0,IF(BH33&lt;INICIO!$F$32*2,INICIO!$F$33,0))+IF(BH34=0,0,IF(BH34&lt;INICIO!$F$32*2,INICIO!$F$33,0))+IF(BH35=0,0,IF(BH35&lt;INICIO!$F$32*2,INICIO!$F$33,0))+IF(BH36=0,0,IF(BH36&lt;INICIO!$F$32*2,INICIO!$F$33,0))+IF(BH37=0,0,IF(BH37&lt;INICIO!$F$32*2,INICIO!$F$33,0))+IF(BH38=0,0,IF(BH38&lt;INICIO!$F$32*2,INICIO!$F$33,0))+IF(BH39=0,0,IF(BH39&lt;INICIO!$F$32*2,INICIO!$F$33,0))+IF(BH40=0,0,IF(BH40&lt;INICIO!$F$32*2,INICIO!$F$33,0))+IF(BH41=0,0,IF(BH41&lt;INICIO!$F$32*2,INICIO!$F$33,0))+IF(BH42=0,0,IF(BH42&lt;INICIO!$F$32*2,INICIO!$F$33,0))+IF(BH43=0,0,IF(BH43&lt;INICIO!$F$32*2,INICIO!$F$33,0))+IF(BH44=0,0,IF(BH44&lt;INICIO!$F$32*2,INICIO!$F$33,0))+IF(BH45=0,0,IF(BH45&lt;INICIO!$F$32*2,INICIO!$F$33,0))+IF(BH46=0,0,IF(BH46&lt;INICIO!$F$32*2,INICIO!$F$33,0))</f>
        <v>0</v>
      </c>
      <c r="BI48" s="37">
        <f>IF(BI31=0,0,IF(BI31&lt;INICIO!$F$32*2,INICIO!$F$33,0))+IF(BI32=0,0,IF(BI32&lt;INICIO!$F$32*2,INICIO!$F$33,0))+IF(BI33=0,0,IF(BI33&lt;INICIO!$F$32*2,INICIO!$F$33,0))+IF(BI34=0,0,IF(BI34&lt;INICIO!$F$32*2,INICIO!$F$33,0))+IF(BI35=0,0,IF(BI35&lt;INICIO!$F$32*2,INICIO!$F$33,0))+IF(BI36=0,0,IF(BI36&lt;INICIO!$F$32*2,INICIO!$F$33,0))+IF(BI37=0,0,IF(BI37&lt;INICIO!$F$32*2,INICIO!$F$33,0))+IF(BI38=0,0,IF(BI38&lt;INICIO!$F$32*2,INICIO!$F$33,0))+IF(BI39=0,0,IF(BI39&lt;INICIO!$F$32*2,INICIO!$F$33,0))+IF(BI40=0,0,IF(BI40&lt;INICIO!$F$32*2,INICIO!$F$33,0))+IF(BI41=0,0,IF(BI41&lt;INICIO!$F$32*2,INICIO!$F$33,0))+IF(BI42=0,0,IF(BI42&lt;INICIO!$F$32*2,INICIO!$F$33,0))+IF(BI43=0,0,IF(BI43&lt;INICIO!$F$32*2,INICIO!$F$33,0))+IF(BI44=0,0,IF(BI44&lt;INICIO!$F$32*2,INICIO!$F$33,0))+IF(BI45=0,0,IF(BI45&lt;INICIO!$F$32*2,INICIO!$F$33,0))+IF(BI46=0,0,IF(BI46&lt;INICIO!$F$32*2,INICIO!$F$33,0))</f>
        <v>0</v>
      </c>
    </row>
    <row r="49" spans="1:61" x14ac:dyDescent="0.3">
      <c r="A49" s="2" t="s">
        <v>145</v>
      </c>
      <c r="B49" s="7">
        <f>B47*2.436%</f>
        <v>85260</v>
      </c>
      <c r="C49" s="7">
        <f t="shared" ref="C49:BI49" si="5">C47*2.436%</f>
        <v>85260</v>
      </c>
      <c r="D49" s="7">
        <f t="shared" si="5"/>
        <v>85260</v>
      </c>
      <c r="E49" s="7">
        <f t="shared" si="5"/>
        <v>85260</v>
      </c>
      <c r="F49" s="7">
        <f t="shared" si="5"/>
        <v>85260</v>
      </c>
      <c r="G49" s="7">
        <f t="shared" si="5"/>
        <v>85260</v>
      </c>
      <c r="H49" s="7">
        <f t="shared" si="5"/>
        <v>85260</v>
      </c>
      <c r="I49" s="7">
        <f t="shared" si="5"/>
        <v>85260</v>
      </c>
      <c r="J49" s="7">
        <f t="shared" si="5"/>
        <v>85260</v>
      </c>
      <c r="K49" s="7">
        <f t="shared" si="5"/>
        <v>85260</v>
      </c>
      <c r="L49" s="7">
        <f t="shared" si="5"/>
        <v>85260</v>
      </c>
      <c r="M49" s="7">
        <f t="shared" si="5"/>
        <v>85260</v>
      </c>
      <c r="N49" s="7">
        <f t="shared" si="5"/>
        <v>180264</v>
      </c>
      <c r="O49" s="7">
        <f t="shared" si="5"/>
        <v>180264</v>
      </c>
      <c r="P49" s="7">
        <f t="shared" si="5"/>
        <v>180264</v>
      </c>
      <c r="Q49" s="7">
        <f t="shared" si="5"/>
        <v>180264</v>
      </c>
      <c r="R49" s="7">
        <f t="shared" si="5"/>
        <v>180264</v>
      </c>
      <c r="S49" s="7">
        <f t="shared" si="5"/>
        <v>180264</v>
      </c>
      <c r="T49" s="7">
        <f t="shared" si="5"/>
        <v>180264</v>
      </c>
      <c r="U49" s="7">
        <f t="shared" si="5"/>
        <v>180264</v>
      </c>
      <c r="V49" s="7">
        <f t="shared" si="5"/>
        <v>180264</v>
      </c>
      <c r="W49" s="7">
        <f t="shared" si="5"/>
        <v>180264</v>
      </c>
      <c r="X49" s="7">
        <f t="shared" si="5"/>
        <v>180264</v>
      </c>
      <c r="Y49" s="7">
        <f t="shared" si="5"/>
        <v>180264</v>
      </c>
      <c r="Z49" s="7">
        <f t="shared" si="5"/>
        <v>323988</v>
      </c>
      <c r="AA49" s="7">
        <f t="shared" si="5"/>
        <v>323988</v>
      </c>
      <c r="AB49" s="7">
        <f t="shared" si="5"/>
        <v>323988</v>
      </c>
      <c r="AC49" s="7">
        <f t="shared" si="5"/>
        <v>323988</v>
      </c>
      <c r="AD49" s="7">
        <f t="shared" si="5"/>
        <v>323988</v>
      </c>
      <c r="AE49" s="7">
        <f t="shared" si="5"/>
        <v>323988</v>
      </c>
      <c r="AF49" s="7">
        <f t="shared" si="5"/>
        <v>323988</v>
      </c>
      <c r="AG49" s="7">
        <f t="shared" si="5"/>
        <v>323988</v>
      </c>
      <c r="AH49" s="7">
        <f t="shared" si="5"/>
        <v>323988</v>
      </c>
      <c r="AI49" s="7">
        <f t="shared" si="5"/>
        <v>323988</v>
      </c>
      <c r="AJ49" s="7">
        <f t="shared" si="5"/>
        <v>323988</v>
      </c>
      <c r="AK49" s="7">
        <f t="shared" si="5"/>
        <v>323988</v>
      </c>
      <c r="AL49" s="7">
        <f t="shared" si="5"/>
        <v>523740</v>
      </c>
      <c r="AM49" s="7">
        <f t="shared" si="5"/>
        <v>523740</v>
      </c>
      <c r="AN49" s="7">
        <f t="shared" si="5"/>
        <v>523740</v>
      </c>
      <c r="AO49" s="7">
        <f t="shared" si="5"/>
        <v>523740</v>
      </c>
      <c r="AP49" s="7">
        <f t="shared" si="5"/>
        <v>523740</v>
      </c>
      <c r="AQ49" s="7">
        <f t="shared" si="5"/>
        <v>523740</v>
      </c>
      <c r="AR49" s="7">
        <f t="shared" si="5"/>
        <v>523740</v>
      </c>
      <c r="AS49" s="7">
        <f t="shared" si="5"/>
        <v>523740</v>
      </c>
      <c r="AT49" s="7">
        <f t="shared" si="5"/>
        <v>523740</v>
      </c>
      <c r="AU49" s="7">
        <f t="shared" si="5"/>
        <v>523740</v>
      </c>
      <c r="AV49" s="7">
        <f t="shared" si="5"/>
        <v>523740</v>
      </c>
      <c r="AW49" s="7">
        <f t="shared" si="5"/>
        <v>523740</v>
      </c>
      <c r="AX49" s="7">
        <f t="shared" si="5"/>
        <v>523740</v>
      </c>
      <c r="AY49" s="7">
        <f t="shared" si="5"/>
        <v>0</v>
      </c>
      <c r="AZ49" s="7">
        <f t="shared" si="5"/>
        <v>0</v>
      </c>
      <c r="BA49" s="7">
        <f t="shared" si="5"/>
        <v>0</v>
      </c>
      <c r="BB49" s="7">
        <f t="shared" si="5"/>
        <v>0</v>
      </c>
      <c r="BC49" s="7">
        <f t="shared" si="5"/>
        <v>0</v>
      </c>
      <c r="BD49" s="7">
        <f t="shared" si="5"/>
        <v>0</v>
      </c>
      <c r="BE49" s="7">
        <f t="shared" si="5"/>
        <v>0</v>
      </c>
      <c r="BF49" s="7">
        <f t="shared" si="5"/>
        <v>0</v>
      </c>
      <c r="BG49" s="7">
        <f t="shared" si="5"/>
        <v>0</v>
      </c>
      <c r="BH49" s="7">
        <f t="shared" si="5"/>
        <v>0</v>
      </c>
      <c r="BI49" s="7">
        <f t="shared" si="5"/>
        <v>0</v>
      </c>
    </row>
    <row r="50" spans="1:61" x14ac:dyDescent="0.3">
      <c r="A50" s="2" t="s">
        <v>146</v>
      </c>
      <c r="B50" s="7">
        <f>B47*8.5%</f>
        <v>297500</v>
      </c>
      <c r="C50" s="7">
        <f t="shared" ref="C50:BI50" si="6">C47*8.5%</f>
        <v>297500</v>
      </c>
      <c r="D50" s="7">
        <f t="shared" si="6"/>
        <v>297500</v>
      </c>
      <c r="E50" s="7">
        <f t="shared" si="6"/>
        <v>297500</v>
      </c>
      <c r="F50" s="7">
        <f t="shared" si="6"/>
        <v>297500</v>
      </c>
      <c r="G50" s="7">
        <f t="shared" si="6"/>
        <v>297500</v>
      </c>
      <c r="H50" s="7">
        <f t="shared" si="6"/>
        <v>297500</v>
      </c>
      <c r="I50" s="7">
        <f t="shared" si="6"/>
        <v>297500</v>
      </c>
      <c r="J50" s="7">
        <f t="shared" si="6"/>
        <v>297500</v>
      </c>
      <c r="K50" s="7">
        <f t="shared" si="6"/>
        <v>297500</v>
      </c>
      <c r="L50" s="7">
        <f t="shared" si="6"/>
        <v>297500</v>
      </c>
      <c r="M50" s="7">
        <f t="shared" si="6"/>
        <v>297500</v>
      </c>
      <c r="N50" s="7">
        <f t="shared" si="6"/>
        <v>629000</v>
      </c>
      <c r="O50" s="7">
        <f t="shared" si="6"/>
        <v>629000</v>
      </c>
      <c r="P50" s="7">
        <f t="shared" si="6"/>
        <v>629000</v>
      </c>
      <c r="Q50" s="7">
        <f t="shared" si="6"/>
        <v>629000</v>
      </c>
      <c r="R50" s="7">
        <f t="shared" si="6"/>
        <v>629000</v>
      </c>
      <c r="S50" s="7">
        <f t="shared" si="6"/>
        <v>629000</v>
      </c>
      <c r="T50" s="7">
        <f t="shared" si="6"/>
        <v>629000</v>
      </c>
      <c r="U50" s="7">
        <f t="shared" si="6"/>
        <v>629000</v>
      </c>
      <c r="V50" s="7">
        <f t="shared" si="6"/>
        <v>629000</v>
      </c>
      <c r="W50" s="7">
        <f t="shared" si="6"/>
        <v>629000</v>
      </c>
      <c r="X50" s="7">
        <f t="shared" si="6"/>
        <v>629000</v>
      </c>
      <c r="Y50" s="7">
        <f t="shared" si="6"/>
        <v>629000</v>
      </c>
      <c r="Z50" s="7">
        <f t="shared" si="6"/>
        <v>1130500</v>
      </c>
      <c r="AA50" s="7">
        <f t="shared" si="6"/>
        <v>1130500</v>
      </c>
      <c r="AB50" s="7">
        <f t="shared" si="6"/>
        <v>1130500</v>
      </c>
      <c r="AC50" s="7">
        <f t="shared" si="6"/>
        <v>1130500</v>
      </c>
      <c r="AD50" s="7">
        <f t="shared" si="6"/>
        <v>1130500</v>
      </c>
      <c r="AE50" s="7">
        <f t="shared" si="6"/>
        <v>1130500</v>
      </c>
      <c r="AF50" s="7">
        <f t="shared" si="6"/>
        <v>1130500</v>
      </c>
      <c r="AG50" s="7">
        <f t="shared" si="6"/>
        <v>1130500</v>
      </c>
      <c r="AH50" s="7">
        <f t="shared" si="6"/>
        <v>1130500</v>
      </c>
      <c r="AI50" s="7">
        <f t="shared" si="6"/>
        <v>1130500</v>
      </c>
      <c r="AJ50" s="7">
        <f t="shared" si="6"/>
        <v>1130500</v>
      </c>
      <c r="AK50" s="7">
        <f t="shared" si="6"/>
        <v>1130500</v>
      </c>
      <c r="AL50" s="7">
        <f t="shared" si="6"/>
        <v>1827500.0000000002</v>
      </c>
      <c r="AM50" s="7">
        <f t="shared" si="6"/>
        <v>1827500.0000000002</v>
      </c>
      <c r="AN50" s="7">
        <f t="shared" si="6"/>
        <v>1827500.0000000002</v>
      </c>
      <c r="AO50" s="7">
        <f t="shared" si="6"/>
        <v>1827500.0000000002</v>
      </c>
      <c r="AP50" s="7">
        <f t="shared" si="6"/>
        <v>1827500.0000000002</v>
      </c>
      <c r="AQ50" s="7">
        <f t="shared" si="6"/>
        <v>1827500.0000000002</v>
      </c>
      <c r="AR50" s="7">
        <f t="shared" si="6"/>
        <v>1827500.0000000002</v>
      </c>
      <c r="AS50" s="7">
        <f t="shared" si="6"/>
        <v>1827500.0000000002</v>
      </c>
      <c r="AT50" s="7">
        <f t="shared" si="6"/>
        <v>1827500.0000000002</v>
      </c>
      <c r="AU50" s="7">
        <f t="shared" si="6"/>
        <v>1827500.0000000002</v>
      </c>
      <c r="AV50" s="7">
        <f t="shared" si="6"/>
        <v>1827500.0000000002</v>
      </c>
      <c r="AW50" s="7">
        <f t="shared" si="6"/>
        <v>1827500.0000000002</v>
      </c>
      <c r="AX50" s="7">
        <f t="shared" si="6"/>
        <v>1827500.0000000002</v>
      </c>
      <c r="AY50" s="7">
        <f t="shared" si="6"/>
        <v>0</v>
      </c>
      <c r="AZ50" s="7">
        <f t="shared" si="6"/>
        <v>0</v>
      </c>
      <c r="BA50" s="7">
        <f t="shared" si="6"/>
        <v>0</v>
      </c>
      <c r="BB50" s="7">
        <f t="shared" si="6"/>
        <v>0</v>
      </c>
      <c r="BC50" s="7">
        <f t="shared" si="6"/>
        <v>0</v>
      </c>
      <c r="BD50" s="7">
        <f t="shared" si="6"/>
        <v>0</v>
      </c>
      <c r="BE50" s="7">
        <f t="shared" si="6"/>
        <v>0</v>
      </c>
      <c r="BF50" s="7">
        <f t="shared" si="6"/>
        <v>0</v>
      </c>
      <c r="BG50" s="7">
        <f t="shared" si="6"/>
        <v>0</v>
      </c>
      <c r="BH50" s="7">
        <f t="shared" si="6"/>
        <v>0</v>
      </c>
      <c r="BI50" s="7">
        <f t="shared" si="6"/>
        <v>0</v>
      </c>
    </row>
    <row r="51" spans="1:61" x14ac:dyDescent="0.3">
      <c r="A51" s="2" t="s">
        <v>147</v>
      </c>
      <c r="B51" s="7">
        <f>B47*12%</f>
        <v>420000</v>
      </c>
      <c r="C51" s="7">
        <f t="shared" ref="C51:BI51" si="7">C47*12%</f>
        <v>420000</v>
      </c>
      <c r="D51" s="7">
        <f t="shared" si="7"/>
        <v>420000</v>
      </c>
      <c r="E51" s="7">
        <f t="shared" si="7"/>
        <v>420000</v>
      </c>
      <c r="F51" s="7">
        <f t="shared" si="7"/>
        <v>420000</v>
      </c>
      <c r="G51" s="7">
        <f t="shared" si="7"/>
        <v>420000</v>
      </c>
      <c r="H51" s="7">
        <f t="shared" si="7"/>
        <v>420000</v>
      </c>
      <c r="I51" s="7">
        <f t="shared" si="7"/>
        <v>420000</v>
      </c>
      <c r="J51" s="7">
        <f t="shared" si="7"/>
        <v>420000</v>
      </c>
      <c r="K51" s="7">
        <f t="shared" si="7"/>
        <v>420000</v>
      </c>
      <c r="L51" s="7">
        <f t="shared" si="7"/>
        <v>420000</v>
      </c>
      <c r="M51" s="7">
        <f t="shared" si="7"/>
        <v>420000</v>
      </c>
      <c r="N51" s="7">
        <f t="shared" si="7"/>
        <v>888000</v>
      </c>
      <c r="O51" s="7">
        <f t="shared" si="7"/>
        <v>888000</v>
      </c>
      <c r="P51" s="7">
        <f t="shared" si="7"/>
        <v>888000</v>
      </c>
      <c r="Q51" s="7">
        <f t="shared" si="7"/>
        <v>888000</v>
      </c>
      <c r="R51" s="7">
        <f t="shared" si="7"/>
        <v>888000</v>
      </c>
      <c r="S51" s="7">
        <f t="shared" si="7"/>
        <v>888000</v>
      </c>
      <c r="T51" s="7">
        <f t="shared" si="7"/>
        <v>888000</v>
      </c>
      <c r="U51" s="7">
        <f t="shared" si="7"/>
        <v>888000</v>
      </c>
      <c r="V51" s="7">
        <f t="shared" si="7"/>
        <v>888000</v>
      </c>
      <c r="W51" s="7">
        <f t="shared" si="7"/>
        <v>888000</v>
      </c>
      <c r="X51" s="7">
        <f t="shared" si="7"/>
        <v>888000</v>
      </c>
      <c r="Y51" s="7">
        <f t="shared" si="7"/>
        <v>888000</v>
      </c>
      <c r="Z51" s="7">
        <f t="shared" si="7"/>
        <v>1596000</v>
      </c>
      <c r="AA51" s="7">
        <f t="shared" si="7"/>
        <v>1596000</v>
      </c>
      <c r="AB51" s="7">
        <f t="shared" si="7"/>
        <v>1596000</v>
      </c>
      <c r="AC51" s="7">
        <f t="shared" si="7"/>
        <v>1596000</v>
      </c>
      <c r="AD51" s="7">
        <f t="shared" si="7"/>
        <v>1596000</v>
      </c>
      <c r="AE51" s="7">
        <f t="shared" si="7"/>
        <v>1596000</v>
      </c>
      <c r="AF51" s="7">
        <f t="shared" si="7"/>
        <v>1596000</v>
      </c>
      <c r="AG51" s="7">
        <f t="shared" si="7"/>
        <v>1596000</v>
      </c>
      <c r="AH51" s="7">
        <f t="shared" si="7"/>
        <v>1596000</v>
      </c>
      <c r="AI51" s="7">
        <f t="shared" si="7"/>
        <v>1596000</v>
      </c>
      <c r="AJ51" s="7">
        <f t="shared" si="7"/>
        <v>1596000</v>
      </c>
      <c r="AK51" s="7">
        <f t="shared" si="7"/>
        <v>1596000</v>
      </c>
      <c r="AL51" s="7">
        <f t="shared" si="7"/>
        <v>2580000</v>
      </c>
      <c r="AM51" s="7">
        <f t="shared" si="7"/>
        <v>2580000</v>
      </c>
      <c r="AN51" s="7">
        <f t="shared" si="7"/>
        <v>2580000</v>
      </c>
      <c r="AO51" s="7">
        <f t="shared" si="7"/>
        <v>2580000</v>
      </c>
      <c r="AP51" s="7">
        <f t="shared" si="7"/>
        <v>2580000</v>
      </c>
      <c r="AQ51" s="7">
        <f t="shared" si="7"/>
        <v>2580000</v>
      </c>
      <c r="AR51" s="7">
        <f t="shared" si="7"/>
        <v>2580000</v>
      </c>
      <c r="AS51" s="7">
        <f t="shared" si="7"/>
        <v>2580000</v>
      </c>
      <c r="AT51" s="7">
        <f t="shared" si="7"/>
        <v>2580000</v>
      </c>
      <c r="AU51" s="7">
        <f t="shared" si="7"/>
        <v>2580000</v>
      </c>
      <c r="AV51" s="7">
        <f t="shared" si="7"/>
        <v>2580000</v>
      </c>
      <c r="AW51" s="7">
        <f t="shared" si="7"/>
        <v>2580000</v>
      </c>
      <c r="AX51" s="7">
        <f t="shared" si="7"/>
        <v>2580000</v>
      </c>
      <c r="AY51" s="7">
        <f t="shared" si="7"/>
        <v>0</v>
      </c>
      <c r="AZ51" s="7">
        <f t="shared" si="7"/>
        <v>0</v>
      </c>
      <c r="BA51" s="7">
        <f t="shared" si="7"/>
        <v>0</v>
      </c>
      <c r="BB51" s="7">
        <f t="shared" si="7"/>
        <v>0</v>
      </c>
      <c r="BC51" s="7">
        <f t="shared" si="7"/>
        <v>0</v>
      </c>
      <c r="BD51" s="7">
        <f t="shared" si="7"/>
        <v>0</v>
      </c>
      <c r="BE51" s="7">
        <f t="shared" si="7"/>
        <v>0</v>
      </c>
      <c r="BF51" s="7">
        <f t="shared" si="7"/>
        <v>0</v>
      </c>
      <c r="BG51" s="7">
        <f t="shared" si="7"/>
        <v>0</v>
      </c>
      <c r="BH51" s="7">
        <f t="shared" si="7"/>
        <v>0</v>
      </c>
      <c r="BI51" s="7">
        <f t="shared" si="7"/>
        <v>0</v>
      </c>
    </row>
    <row r="52" spans="1:61" x14ac:dyDescent="0.3">
      <c r="A52" s="2" t="s">
        <v>148</v>
      </c>
      <c r="B52" s="7">
        <f>B47*4%</f>
        <v>140000</v>
      </c>
      <c r="C52" s="7">
        <f t="shared" ref="C52:BI52" si="8">C47*4%</f>
        <v>140000</v>
      </c>
      <c r="D52" s="7">
        <f t="shared" si="8"/>
        <v>140000</v>
      </c>
      <c r="E52" s="7">
        <f t="shared" si="8"/>
        <v>140000</v>
      </c>
      <c r="F52" s="7">
        <f t="shared" si="8"/>
        <v>140000</v>
      </c>
      <c r="G52" s="7">
        <f t="shared" si="8"/>
        <v>140000</v>
      </c>
      <c r="H52" s="7">
        <f t="shared" si="8"/>
        <v>140000</v>
      </c>
      <c r="I52" s="7">
        <f t="shared" si="8"/>
        <v>140000</v>
      </c>
      <c r="J52" s="7">
        <f t="shared" si="8"/>
        <v>140000</v>
      </c>
      <c r="K52" s="7">
        <f t="shared" si="8"/>
        <v>140000</v>
      </c>
      <c r="L52" s="7">
        <f t="shared" si="8"/>
        <v>140000</v>
      </c>
      <c r="M52" s="7">
        <f t="shared" si="8"/>
        <v>140000</v>
      </c>
      <c r="N52" s="7">
        <f t="shared" si="8"/>
        <v>296000</v>
      </c>
      <c r="O52" s="7">
        <f t="shared" si="8"/>
        <v>296000</v>
      </c>
      <c r="P52" s="7">
        <f t="shared" si="8"/>
        <v>296000</v>
      </c>
      <c r="Q52" s="7">
        <f t="shared" si="8"/>
        <v>296000</v>
      </c>
      <c r="R52" s="7">
        <f t="shared" si="8"/>
        <v>296000</v>
      </c>
      <c r="S52" s="7">
        <f t="shared" si="8"/>
        <v>296000</v>
      </c>
      <c r="T52" s="7">
        <f t="shared" si="8"/>
        <v>296000</v>
      </c>
      <c r="U52" s="7">
        <f t="shared" si="8"/>
        <v>296000</v>
      </c>
      <c r="V52" s="7">
        <f t="shared" si="8"/>
        <v>296000</v>
      </c>
      <c r="W52" s="7">
        <f t="shared" si="8"/>
        <v>296000</v>
      </c>
      <c r="X52" s="7">
        <f t="shared" si="8"/>
        <v>296000</v>
      </c>
      <c r="Y52" s="7">
        <f t="shared" si="8"/>
        <v>296000</v>
      </c>
      <c r="Z52" s="7">
        <f t="shared" si="8"/>
        <v>532000</v>
      </c>
      <c r="AA52" s="7">
        <f t="shared" si="8"/>
        <v>532000</v>
      </c>
      <c r="AB52" s="7">
        <f t="shared" si="8"/>
        <v>532000</v>
      </c>
      <c r="AC52" s="7">
        <f t="shared" si="8"/>
        <v>532000</v>
      </c>
      <c r="AD52" s="7">
        <f t="shared" si="8"/>
        <v>532000</v>
      </c>
      <c r="AE52" s="7">
        <f t="shared" si="8"/>
        <v>532000</v>
      </c>
      <c r="AF52" s="7">
        <f t="shared" si="8"/>
        <v>532000</v>
      </c>
      <c r="AG52" s="7">
        <f t="shared" si="8"/>
        <v>532000</v>
      </c>
      <c r="AH52" s="7">
        <f t="shared" si="8"/>
        <v>532000</v>
      </c>
      <c r="AI52" s="7">
        <f t="shared" si="8"/>
        <v>532000</v>
      </c>
      <c r="AJ52" s="7">
        <f t="shared" si="8"/>
        <v>532000</v>
      </c>
      <c r="AK52" s="7">
        <f t="shared" si="8"/>
        <v>532000</v>
      </c>
      <c r="AL52" s="7">
        <f t="shared" si="8"/>
        <v>860000</v>
      </c>
      <c r="AM52" s="7">
        <f t="shared" si="8"/>
        <v>860000</v>
      </c>
      <c r="AN52" s="7">
        <f t="shared" si="8"/>
        <v>860000</v>
      </c>
      <c r="AO52" s="7">
        <f t="shared" si="8"/>
        <v>860000</v>
      </c>
      <c r="AP52" s="7">
        <f t="shared" si="8"/>
        <v>860000</v>
      </c>
      <c r="AQ52" s="7">
        <f t="shared" si="8"/>
        <v>860000</v>
      </c>
      <c r="AR52" s="7">
        <f t="shared" si="8"/>
        <v>860000</v>
      </c>
      <c r="AS52" s="7">
        <f t="shared" si="8"/>
        <v>860000</v>
      </c>
      <c r="AT52" s="7">
        <f t="shared" si="8"/>
        <v>860000</v>
      </c>
      <c r="AU52" s="7">
        <f t="shared" si="8"/>
        <v>860000</v>
      </c>
      <c r="AV52" s="7">
        <f t="shared" si="8"/>
        <v>860000</v>
      </c>
      <c r="AW52" s="7">
        <f t="shared" si="8"/>
        <v>860000</v>
      </c>
      <c r="AX52" s="7">
        <f t="shared" si="8"/>
        <v>860000</v>
      </c>
      <c r="AY52" s="7">
        <f t="shared" si="8"/>
        <v>0</v>
      </c>
      <c r="AZ52" s="7">
        <f t="shared" si="8"/>
        <v>0</v>
      </c>
      <c r="BA52" s="7">
        <f t="shared" si="8"/>
        <v>0</v>
      </c>
      <c r="BB52" s="7">
        <f t="shared" si="8"/>
        <v>0</v>
      </c>
      <c r="BC52" s="7">
        <f t="shared" si="8"/>
        <v>0</v>
      </c>
      <c r="BD52" s="7">
        <f t="shared" si="8"/>
        <v>0</v>
      </c>
      <c r="BE52" s="7">
        <f t="shared" si="8"/>
        <v>0</v>
      </c>
      <c r="BF52" s="7">
        <f t="shared" si="8"/>
        <v>0</v>
      </c>
      <c r="BG52" s="7">
        <f t="shared" si="8"/>
        <v>0</v>
      </c>
      <c r="BH52" s="7">
        <f t="shared" si="8"/>
        <v>0</v>
      </c>
      <c r="BI52" s="7">
        <f t="shared" si="8"/>
        <v>0</v>
      </c>
    </row>
    <row r="53" spans="1:61" x14ac:dyDescent="0.3">
      <c r="A53" s="2" t="s">
        <v>149</v>
      </c>
      <c r="B53" s="7">
        <f>B47*(100%/12)</f>
        <v>291666.66666666663</v>
      </c>
      <c r="C53" s="7">
        <f t="shared" ref="C53:BI53" si="9">C47*(100%/12)</f>
        <v>291666.66666666663</v>
      </c>
      <c r="D53" s="7">
        <f t="shared" si="9"/>
        <v>291666.66666666663</v>
      </c>
      <c r="E53" s="7">
        <f t="shared" si="9"/>
        <v>291666.66666666663</v>
      </c>
      <c r="F53" s="7">
        <f t="shared" si="9"/>
        <v>291666.66666666663</v>
      </c>
      <c r="G53" s="7">
        <f t="shared" si="9"/>
        <v>291666.66666666663</v>
      </c>
      <c r="H53" s="7">
        <f t="shared" si="9"/>
        <v>291666.66666666663</v>
      </c>
      <c r="I53" s="7">
        <f t="shared" si="9"/>
        <v>291666.66666666663</v>
      </c>
      <c r="J53" s="7">
        <f t="shared" si="9"/>
        <v>291666.66666666663</v>
      </c>
      <c r="K53" s="7">
        <f t="shared" si="9"/>
        <v>291666.66666666663</v>
      </c>
      <c r="L53" s="7">
        <f t="shared" si="9"/>
        <v>291666.66666666663</v>
      </c>
      <c r="M53" s="7">
        <f t="shared" si="9"/>
        <v>291666.66666666663</v>
      </c>
      <c r="N53" s="7">
        <f t="shared" si="9"/>
        <v>616666.66666666663</v>
      </c>
      <c r="O53" s="7">
        <f t="shared" si="9"/>
        <v>616666.66666666663</v>
      </c>
      <c r="P53" s="7">
        <f t="shared" si="9"/>
        <v>616666.66666666663</v>
      </c>
      <c r="Q53" s="7">
        <f t="shared" si="9"/>
        <v>616666.66666666663</v>
      </c>
      <c r="R53" s="7">
        <f t="shared" si="9"/>
        <v>616666.66666666663</v>
      </c>
      <c r="S53" s="7">
        <f t="shared" si="9"/>
        <v>616666.66666666663</v>
      </c>
      <c r="T53" s="7">
        <f t="shared" si="9"/>
        <v>616666.66666666663</v>
      </c>
      <c r="U53" s="7">
        <f t="shared" si="9"/>
        <v>616666.66666666663</v>
      </c>
      <c r="V53" s="7">
        <f t="shared" si="9"/>
        <v>616666.66666666663</v>
      </c>
      <c r="W53" s="7">
        <f t="shared" si="9"/>
        <v>616666.66666666663</v>
      </c>
      <c r="X53" s="7">
        <f t="shared" si="9"/>
        <v>616666.66666666663</v>
      </c>
      <c r="Y53" s="7">
        <f t="shared" si="9"/>
        <v>616666.66666666663</v>
      </c>
      <c r="Z53" s="7">
        <f t="shared" si="9"/>
        <v>1108333.3333333333</v>
      </c>
      <c r="AA53" s="7">
        <f t="shared" si="9"/>
        <v>1108333.3333333333</v>
      </c>
      <c r="AB53" s="7">
        <f t="shared" si="9"/>
        <v>1108333.3333333333</v>
      </c>
      <c r="AC53" s="7">
        <f t="shared" si="9"/>
        <v>1108333.3333333333</v>
      </c>
      <c r="AD53" s="7">
        <f t="shared" si="9"/>
        <v>1108333.3333333333</v>
      </c>
      <c r="AE53" s="7">
        <f t="shared" si="9"/>
        <v>1108333.3333333333</v>
      </c>
      <c r="AF53" s="7">
        <f t="shared" si="9"/>
        <v>1108333.3333333333</v>
      </c>
      <c r="AG53" s="7">
        <f t="shared" si="9"/>
        <v>1108333.3333333333</v>
      </c>
      <c r="AH53" s="7">
        <f t="shared" si="9"/>
        <v>1108333.3333333333</v>
      </c>
      <c r="AI53" s="7">
        <f t="shared" si="9"/>
        <v>1108333.3333333333</v>
      </c>
      <c r="AJ53" s="7">
        <f t="shared" si="9"/>
        <v>1108333.3333333333</v>
      </c>
      <c r="AK53" s="7">
        <f t="shared" si="9"/>
        <v>1108333.3333333333</v>
      </c>
      <c r="AL53" s="7">
        <f t="shared" si="9"/>
        <v>1791666.6666666665</v>
      </c>
      <c r="AM53" s="7">
        <f t="shared" si="9"/>
        <v>1791666.6666666665</v>
      </c>
      <c r="AN53" s="7">
        <f t="shared" si="9"/>
        <v>1791666.6666666665</v>
      </c>
      <c r="AO53" s="7">
        <f t="shared" si="9"/>
        <v>1791666.6666666665</v>
      </c>
      <c r="AP53" s="7">
        <f t="shared" si="9"/>
        <v>1791666.6666666665</v>
      </c>
      <c r="AQ53" s="7">
        <f t="shared" si="9"/>
        <v>1791666.6666666665</v>
      </c>
      <c r="AR53" s="7">
        <f t="shared" si="9"/>
        <v>1791666.6666666665</v>
      </c>
      <c r="AS53" s="7">
        <f t="shared" si="9"/>
        <v>1791666.6666666665</v>
      </c>
      <c r="AT53" s="7">
        <f t="shared" si="9"/>
        <v>1791666.6666666665</v>
      </c>
      <c r="AU53" s="7">
        <f t="shared" si="9"/>
        <v>1791666.6666666665</v>
      </c>
      <c r="AV53" s="7">
        <f t="shared" si="9"/>
        <v>1791666.6666666665</v>
      </c>
      <c r="AW53" s="7">
        <f t="shared" si="9"/>
        <v>1791666.6666666665</v>
      </c>
      <c r="AX53" s="7">
        <f t="shared" si="9"/>
        <v>1791666.6666666665</v>
      </c>
      <c r="AY53" s="7">
        <f t="shared" si="9"/>
        <v>0</v>
      </c>
      <c r="AZ53" s="7">
        <f t="shared" si="9"/>
        <v>0</v>
      </c>
      <c r="BA53" s="7">
        <f t="shared" si="9"/>
        <v>0</v>
      </c>
      <c r="BB53" s="7">
        <f t="shared" si="9"/>
        <v>0</v>
      </c>
      <c r="BC53" s="7">
        <f t="shared" si="9"/>
        <v>0</v>
      </c>
      <c r="BD53" s="7">
        <f t="shared" si="9"/>
        <v>0</v>
      </c>
      <c r="BE53" s="7">
        <f t="shared" si="9"/>
        <v>0</v>
      </c>
      <c r="BF53" s="7">
        <f t="shared" si="9"/>
        <v>0</v>
      </c>
      <c r="BG53" s="7">
        <f t="shared" si="9"/>
        <v>0</v>
      </c>
      <c r="BH53" s="7">
        <f t="shared" si="9"/>
        <v>0</v>
      </c>
      <c r="BI53" s="7">
        <f t="shared" si="9"/>
        <v>0</v>
      </c>
    </row>
    <row r="54" spans="1:61" x14ac:dyDescent="0.3">
      <c r="A54" s="2" t="s">
        <v>150</v>
      </c>
      <c r="B54" s="7">
        <f>B47*(100%/12)</f>
        <v>291666.66666666663</v>
      </c>
      <c r="C54" s="7">
        <f t="shared" ref="C54:BI54" si="10">C47*(100%/12)</f>
        <v>291666.66666666663</v>
      </c>
      <c r="D54" s="7">
        <f t="shared" si="10"/>
        <v>291666.66666666663</v>
      </c>
      <c r="E54" s="7">
        <f t="shared" si="10"/>
        <v>291666.66666666663</v>
      </c>
      <c r="F54" s="7">
        <f t="shared" si="10"/>
        <v>291666.66666666663</v>
      </c>
      <c r="G54" s="7">
        <f t="shared" si="10"/>
        <v>291666.66666666663</v>
      </c>
      <c r="H54" s="7">
        <f t="shared" si="10"/>
        <v>291666.66666666663</v>
      </c>
      <c r="I54" s="7">
        <f t="shared" si="10"/>
        <v>291666.66666666663</v>
      </c>
      <c r="J54" s="7">
        <f t="shared" si="10"/>
        <v>291666.66666666663</v>
      </c>
      <c r="K54" s="7">
        <f t="shared" si="10"/>
        <v>291666.66666666663</v>
      </c>
      <c r="L54" s="7">
        <f t="shared" si="10"/>
        <v>291666.66666666663</v>
      </c>
      <c r="M54" s="7">
        <f t="shared" si="10"/>
        <v>291666.66666666663</v>
      </c>
      <c r="N54" s="7">
        <f t="shared" si="10"/>
        <v>616666.66666666663</v>
      </c>
      <c r="O54" s="7">
        <f t="shared" si="10"/>
        <v>616666.66666666663</v>
      </c>
      <c r="P54" s="7">
        <f t="shared" si="10"/>
        <v>616666.66666666663</v>
      </c>
      <c r="Q54" s="7">
        <f t="shared" si="10"/>
        <v>616666.66666666663</v>
      </c>
      <c r="R54" s="7">
        <f t="shared" si="10"/>
        <v>616666.66666666663</v>
      </c>
      <c r="S54" s="7">
        <f t="shared" si="10"/>
        <v>616666.66666666663</v>
      </c>
      <c r="T54" s="7">
        <f t="shared" si="10"/>
        <v>616666.66666666663</v>
      </c>
      <c r="U54" s="7">
        <f t="shared" si="10"/>
        <v>616666.66666666663</v>
      </c>
      <c r="V54" s="7">
        <f t="shared" si="10"/>
        <v>616666.66666666663</v>
      </c>
      <c r="W54" s="7">
        <f t="shared" si="10"/>
        <v>616666.66666666663</v>
      </c>
      <c r="X54" s="7">
        <f t="shared" si="10"/>
        <v>616666.66666666663</v>
      </c>
      <c r="Y54" s="7">
        <f t="shared" si="10"/>
        <v>616666.66666666663</v>
      </c>
      <c r="Z54" s="7">
        <f t="shared" si="10"/>
        <v>1108333.3333333333</v>
      </c>
      <c r="AA54" s="7">
        <f t="shared" si="10"/>
        <v>1108333.3333333333</v>
      </c>
      <c r="AB54" s="7">
        <f t="shared" si="10"/>
        <v>1108333.3333333333</v>
      </c>
      <c r="AC54" s="7">
        <f t="shared" si="10"/>
        <v>1108333.3333333333</v>
      </c>
      <c r="AD54" s="7">
        <f t="shared" si="10"/>
        <v>1108333.3333333333</v>
      </c>
      <c r="AE54" s="7">
        <f t="shared" si="10"/>
        <v>1108333.3333333333</v>
      </c>
      <c r="AF54" s="7">
        <f t="shared" si="10"/>
        <v>1108333.3333333333</v>
      </c>
      <c r="AG54" s="7">
        <f t="shared" si="10"/>
        <v>1108333.3333333333</v>
      </c>
      <c r="AH54" s="7">
        <f t="shared" si="10"/>
        <v>1108333.3333333333</v>
      </c>
      <c r="AI54" s="7">
        <f t="shared" si="10"/>
        <v>1108333.3333333333</v>
      </c>
      <c r="AJ54" s="7">
        <f t="shared" si="10"/>
        <v>1108333.3333333333</v>
      </c>
      <c r="AK54" s="7">
        <f t="shared" si="10"/>
        <v>1108333.3333333333</v>
      </c>
      <c r="AL54" s="7">
        <f t="shared" si="10"/>
        <v>1791666.6666666665</v>
      </c>
      <c r="AM54" s="7">
        <f t="shared" si="10"/>
        <v>1791666.6666666665</v>
      </c>
      <c r="AN54" s="7">
        <f t="shared" si="10"/>
        <v>1791666.6666666665</v>
      </c>
      <c r="AO54" s="7">
        <f t="shared" si="10"/>
        <v>1791666.6666666665</v>
      </c>
      <c r="AP54" s="7">
        <f t="shared" si="10"/>
        <v>1791666.6666666665</v>
      </c>
      <c r="AQ54" s="7">
        <f t="shared" si="10"/>
        <v>1791666.6666666665</v>
      </c>
      <c r="AR54" s="7">
        <f t="shared" si="10"/>
        <v>1791666.6666666665</v>
      </c>
      <c r="AS54" s="7">
        <f t="shared" si="10"/>
        <v>1791666.6666666665</v>
      </c>
      <c r="AT54" s="7">
        <f t="shared" si="10"/>
        <v>1791666.6666666665</v>
      </c>
      <c r="AU54" s="7">
        <f t="shared" si="10"/>
        <v>1791666.6666666665</v>
      </c>
      <c r="AV54" s="7">
        <f t="shared" si="10"/>
        <v>1791666.6666666665</v>
      </c>
      <c r="AW54" s="7">
        <f t="shared" si="10"/>
        <v>1791666.6666666665</v>
      </c>
      <c r="AX54" s="7">
        <f t="shared" si="10"/>
        <v>1791666.6666666665</v>
      </c>
      <c r="AY54" s="7">
        <f t="shared" si="10"/>
        <v>0</v>
      </c>
      <c r="AZ54" s="7">
        <f t="shared" si="10"/>
        <v>0</v>
      </c>
      <c r="BA54" s="7">
        <f t="shared" si="10"/>
        <v>0</v>
      </c>
      <c r="BB54" s="7">
        <f t="shared" si="10"/>
        <v>0</v>
      </c>
      <c r="BC54" s="7">
        <f t="shared" si="10"/>
        <v>0</v>
      </c>
      <c r="BD54" s="7">
        <f t="shared" si="10"/>
        <v>0</v>
      </c>
      <c r="BE54" s="7">
        <f t="shared" si="10"/>
        <v>0</v>
      </c>
      <c r="BF54" s="7">
        <f t="shared" si="10"/>
        <v>0</v>
      </c>
      <c r="BG54" s="7">
        <f t="shared" si="10"/>
        <v>0</v>
      </c>
      <c r="BH54" s="7">
        <f t="shared" si="10"/>
        <v>0</v>
      </c>
      <c r="BI54" s="7">
        <f t="shared" si="10"/>
        <v>0</v>
      </c>
    </row>
    <row r="55" spans="1:61" x14ac:dyDescent="0.3">
      <c r="A55" s="2" t="s">
        <v>151</v>
      </c>
      <c r="B55" s="7">
        <f>B54*1%</f>
        <v>2916.6666666666665</v>
      </c>
      <c r="C55" s="7">
        <f t="shared" ref="C55:BI55" si="11">C54*1%</f>
        <v>2916.6666666666665</v>
      </c>
      <c r="D55" s="7">
        <f t="shared" si="11"/>
        <v>2916.6666666666665</v>
      </c>
      <c r="E55" s="7">
        <f t="shared" si="11"/>
        <v>2916.6666666666665</v>
      </c>
      <c r="F55" s="7">
        <f t="shared" si="11"/>
        <v>2916.6666666666665</v>
      </c>
      <c r="G55" s="7">
        <f t="shared" si="11"/>
        <v>2916.6666666666665</v>
      </c>
      <c r="H55" s="7">
        <f t="shared" si="11"/>
        <v>2916.6666666666665</v>
      </c>
      <c r="I55" s="7">
        <f t="shared" si="11"/>
        <v>2916.6666666666665</v>
      </c>
      <c r="J55" s="7">
        <f t="shared" si="11"/>
        <v>2916.6666666666665</v>
      </c>
      <c r="K55" s="7">
        <f t="shared" si="11"/>
        <v>2916.6666666666665</v>
      </c>
      <c r="L55" s="7">
        <f t="shared" si="11"/>
        <v>2916.6666666666665</v>
      </c>
      <c r="M55" s="7">
        <f t="shared" si="11"/>
        <v>2916.6666666666665</v>
      </c>
      <c r="N55" s="7">
        <f t="shared" si="11"/>
        <v>6166.6666666666661</v>
      </c>
      <c r="O55" s="7">
        <f t="shared" si="11"/>
        <v>6166.6666666666661</v>
      </c>
      <c r="P55" s="7">
        <f t="shared" si="11"/>
        <v>6166.6666666666661</v>
      </c>
      <c r="Q55" s="7">
        <f t="shared" si="11"/>
        <v>6166.6666666666661</v>
      </c>
      <c r="R55" s="7">
        <f t="shared" si="11"/>
        <v>6166.6666666666661</v>
      </c>
      <c r="S55" s="7">
        <f t="shared" si="11"/>
        <v>6166.6666666666661</v>
      </c>
      <c r="T55" s="7">
        <f t="shared" si="11"/>
        <v>6166.6666666666661</v>
      </c>
      <c r="U55" s="7">
        <f t="shared" si="11"/>
        <v>6166.6666666666661</v>
      </c>
      <c r="V55" s="7">
        <f t="shared" si="11"/>
        <v>6166.6666666666661</v>
      </c>
      <c r="W55" s="7">
        <f t="shared" si="11"/>
        <v>6166.6666666666661</v>
      </c>
      <c r="X55" s="7">
        <f t="shared" si="11"/>
        <v>6166.6666666666661</v>
      </c>
      <c r="Y55" s="7">
        <f t="shared" si="11"/>
        <v>6166.6666666666661</v>
      </c>
      <c r="Z55" s="7">
        <f t="shared" si="11"/>
        <v>11083.333333333332</v>
      </c>
      <c r="AA55" s="7">
        <f t="shared" si="11"/>
        <v>11083.333333333332</v>
      </c>
      <c r="AB55" s="7">
        <f t="shared" si="11"/>
        <v>11083.333333333332</v>
      </c>
      <c r="AC55" s="7">
        <f t="shared" si="11"/>
        <v>11083.333333333332</v>
      </c>
      <c r="AD55" s="7">
        <f t="shared" si="11"/>
        <v>11083.333333333332</v>
      </c>
      <c r="AE55" s="7">
        <f t="shared" si="11"/>
        <v>11083.333333333332</v>
      </c>
      <c r="AF55" s="7">
        <f t="shared" si="11"/>
        <v>11083.333333333332</v>
      </c>
      <c r="AG55" s="7">
        <f t="shared" si="11"/>
        <v>11083.333333333332</v>
      </c>
      <c r="AH55" s="7">
        <f t="shared" si="11"/>
        <v>11083.333333333332</v>
      </c>
      <c r="AI55" s="7">
        <f t="shared" si="11"/>
        <v>11083.333333333332</v>
      </c>
      <c r="AJ55" s="7">
        <f t="shared" si="11"/>
        <v>11083.333333333332</v>
      </c>
      <c r="AK55" s="7">
        <f t="shared" si="11"/>
        <v>11083.333333333332</v>
      </c>
      <c r="AL55" s="7">
        <f t="shared" si="11"/>
        <v>17916.666666666664</v>
      </c>
      <c r="AM55" s="7">
        <f t="shared" si="11"/>
        <v>17916.666666666664</v>
      </c>
      <c r="AN55" s="7">
        <f t="shared" si="11"/>
        <v>17916.666666666664</v>
      </c>
      <c r="AO55" s="7">
        <f t="shared" si="11"/>
        <v>17916.666666666664</v>
      </c>
      <c r="AP55" s="7">
        <f t="shared" si="11"/>
        <v>17916.666666666664</v>
      </c>
      <c r="AQ55" s="7">
        <f t="shared" si="11"/>
        <v>17916.666666666664</v>
      </c>
      <c r="AR55" s="7">
        <f t="shared" si="11"/>
        <v>17916.666666666664</v>
      </c>
      <c r="AS55" s="7">
        <f t="shared" si="11"/>
        <v>17916.666666666664</v>
      </c>
      <c r="AT55" s="7">
        <f t="shared" si="11"/>
        <v>17916.666666666664</v>
      </c>
      <c r="AU55" s="7">
        <f t="shared" si="11"/>
        <v>17916.666666666664</v>
      </c>
      <c r="AV55" s="7">
        <f t="shared" si="11"/>
        <v>17916.666666666664</v>
      </c>
      <c r="AW55" s="7">
        <f t="shared" si="11"/>
        <v>17916.666666666664</v>
      </c>
      <c r="AX55" s="7">
        <f t="shared" si="11"/>
        <v>17916.666666666664</v>
      </c>
      <c r="AY55" s="7">
        <f t="shared" si="11"/>
        <v>0</v>
      </c>
      <c r="AZ55" s="7">
        <f t="shared" si="11"/>
        <v>0</v>
      </c>
      <c r="BA55" s="7">
        <f t="shared" si="11"/>
        <v>0</v>
      </c>
      <c r="BB55" s="7">
        <f t="shared" si="11"/>
        <v>0</v>
      </c>
      <c r="BC55" s="7">
        <f t="shared" si="11"/>
        <v>0</v>
      </c>
      <c r="BD55" s="7">
        <f t="shared" si="11"/>
        <v>0</v>
      </c>
      <c r="BE55" s="7">
        <f t="shared" si="11"/>
        <v>0</v>
      </c>
      <c r="BF55" s="7">
        <f t="shared" si="11"/>
        <v>0</v>
      </c>
      <c r="BG55" s="7">
        <f t="shared" si="11"/>
        <v>0</v>
      </c>
      <c r="BH55" s="7">
        <f t="shared" si="11"/>
        <v>0</v>
      </c>
      <c r="BI55" s="7">
        <f t="shared" si="11"/>
        <v>0</v>
      </c>
    </row>
    <row r="56" spans="1:61" x14ac:dyDescent="0.3">
      <c r="A56" s="2" t="s">
        <v>152</v>
      </c>
      <c r="B56" s="7">
        <f>B47*(100%/24)</f>
        <v>145833.33333333331</v>
      </c>
      <c r="C56" s="7">
        <f t="shared" ref="C56:BI56" si="12">C47*(100%/24)</f>
        <v>145833.33333333331</v>
      </c>
      <c r="D56" s="7">
        <f t="shared" si="12"/>
        <v>145833.33333333331</v>
      </c>
      <c r="E56" s="7">
        <f t="shared" si="12"/>
        <v>145833.33333333331</v>
      </c>
      <c r="F56" s="7">
        <f t="shared" si="12"/>
        <v>145833.33333333331</v>
      </c>
      <c r="G56" s="7">
        <f t="shared" si="12"/>
        <v>145833.33333333331</v>
      </c>
      <c r="H56" s="7">
        <f t="shared" si="12"/>
        <v>145833.33333333331</v>
      </c>
      <c r="I56" s="7">
        <f t="shared" si="12"/>
        <v>145833.33333333331</v>
      </c>
      <c r="J56" s="7">
        <f t="shared" si="12"/>
        <v>145833.33333333331</v>
      </c>
      <c r="K56" s="7">
        <f t="shared" si="12"/>
        <v>145833.33333333331</v>
      </c>
      <c r="L56" s="7">
        <f t="shared" si="12"/>
        <v>145833.33333333331</v>
      </c>
      <c r="M56" s="7">
        <f t="shared" si="12"/>
        <v>145833.33333333331</v>
      </c>
      <c r="N56" s="7">
        <f t="shared" si="12"/>
        <v>308333.33333333331</v>
      </c>
      <c r="O56" s="7">
        <f t="shared" si="12"/>
        <v>308333.33333333331</v>
      </c>
      <c r="P56" s="7">
        <f t="shared" si="12"/>
        <v>308333.33333333331</v>
      </c>
      <c r="Q56" s="7">
        <f t="shared" si="12"/>
        <v>308333.33333333331</v>
      </c>
      <c r="R56" s="7">
        <f t="shared" si="12"/>
        <v>308333.33333333331</v>
      </c>
      <c r="S56" s="7">
        <f t="shared" si="12"/>
        <v>308333.33333333331</v>
      </c>
      <c r="T56" s="7">
        <f t="shared" si="12"/>
        <v>308333.33333333331</v>
      </c>
      <c r="U56" s="7">
        <f t="shared" si="12"/>
        <v>308333.33333333331</v>
      </c>
      <c r="V56" s="7">
        <f t="shared" si="12"/>
        <v>308333.33333333331</v>
      </c>
      <c r="W56" s="7">
        <f t="shared" si="12"/>
        <v>308333.33333333331</v>
      </c>
      <c r="X56" s="7">
        <f t="shared" si="12"/>
        <v>308333.33333333331</v>
      </c>
      <c r="Y56" s="7">
        <f t="shared" si="12"/>
        <v>308333.33333333331</v>
      </c>
      <c r="Z56" s="7">
        <f t="shared" si="12"/>
        <v>554166.66666666663</v>
      </c>
      <c r="AA56" s="7">
        <f t="shared" si="12"/>
        <v>554166.66666666663</v>
      </c>
      <c r="AB56" s="7">
        <f t="shared" si="12"/>
        <v>554166.66666666663</v>
      </c>
      <c r="AC56" s="7">
        <f t="shared" si="12"/>
        <v>554166.66666666663</v>
      </c>
      <c r="AD56" s="7">
        <f t="shared" si="12"/>
        <v>554166.66666666663</v>
      </c>
      <c r="AE56" s="7">
        <f t="shared" si="12"/>
        <v>554166.66666666663</v>
      </c>
      <c r="AF56" s="7">
        <f t="shared" si="12"/>
        <v>554166.66666666663</v>
      </c>
      <c r="AG56" s="7">
        <f t="shared" si="12"/>
        <v>554166.66666666663</v>
      </c>
      <c r="AH56" s="7">
        <f t="shared" si="12"/>
        <v>554166.66666666663</v>
      </c>
      <c r="AI56" s="7">
        <f t="shared" si="12"/>
        <v>554166.66666666663</v>
      </c>
      <c r="AJ56" s="7">
        <f t="shared" si="12"/>
        <v>554166.66666666663</v>
      </c>
      <c r="AK56" s="7">
        <f t="shared" si="12"/>
        <v>554166.66666666663</v>
      </c>
      <c r="AL56" s="7">
        <f t="shared" si="12"/>
        <v>895833.33333333326</v>
      </c>
      <c r="AM56" s="7">
        <f t="shared" si="12"/>
        <v>895833.33333333326</v>
      </c>
      <c r="AN56" s="7">
        <f t="shared" si="12"/>
        <v>895833.33333333326</v>
      </c>
      <c r="AO56" s="7">
        <f t="shared" si="12"/>
        <v>895833.33333333326</v>
      </c>
      <c r="AP56" s="7">
        <f t="shared" si="12"/>
        <v>895833.33333333326</v>
      </c>
      <c r="AQ56" s="7">
        <f t="shared" si="12"/>
        <v>895833.33333333326</v>
      </c>
      <c r="AR56" s="7">
        <f t="shared" si="12"/>
        <v>895833.33333333326</v>
      </c>
      <c r="AS56" s="7">
        <f t="shared" si="12"/>
        <v>895833.33333333326</v>
      </c>
      <c r="AT56" s="7">
        <f t="shared" si="12"/>
        <v>895833.33333333326</v>
      </c>
      <c r="AU56" s="7">
        <f t="shared" si="12"/>
        <v>895833.33333333326</v>
      </c>
      <c r="AV56" s="7">
        <f t="shared" si="12"/>
        <v>895833.33333333326</v>
      </c>
      <c r="AW56" s="7">
        <f t="shared" si="12"/>
        <v>895833.33333333326</v>
      </c>
      <c r="AX56" s="7">
        <f t="shared" si="12"/>
        <v>895833.33333333326</v>
      </c>
      <c r="AY56" s="7">
        <f t="shared" si="12"/>
        <v>0</v>
      </c>
      <c r="AZ56" s="7">
        <f t="shared" si="12"/>
        <v>0</v>
      </c>
      <c r="BA56" s="7">
        <f t="shared" si="12"/>
        <v>0</v>
      </c>
      <c r="BB56" s="7">
        <f t="shared" si="12"/>
        <v>0</v>
      </c>
      <c r="BC56" s="7">
        <f t="shared" si="12"/>
        <v>0</v>
      </c>
      <c r="BD56" s="7">
        <f t="shared" si="12"/>
        <v>0</v>
      </c>
      <c r="BE56" s="7">
        <f t="shared" si="12"/>
        <v>0</v>
      </c>
      <c r="BF56" s="7">
        <f t="shared" si="12"/>
        <v>0</v>
      </c>
      <c r="BG56" s="7">
        <f t="shared" si="12"/>
        <v>0</v>
      </c>
      <c r="BH56" s="7">
        <f t="shared" si="12"/>
        <v>0</v>
      </c>
      <c r="BI56" s="7">
        <f t="shared" si="12"/>
        <v>0</v>
      </c>
    </row>
    <row r="57" spans="1:61" x14ac:dyDescent="0.3">
      <c r="A57" s="8" t="s">
        <v>153</v>
      </c>
      <c r="B57" s="9">
        <f>SUM(B48:B56)</f>
        <v>1942843.333333333</v>
      </c>
      <c r="C57" s="9">
        <f t="shared" ref="C57:BI57" si="13">SUM(C48:C56)</f>
        <v>1942843.333333333</v>
      </c>
      <c r="D57" s="9">
        <f t="shared" si="13"/>
        <v>1942843.333333333</v>
      </c>
      <c r="E57" s="9">
        <f t="shared" si="13"/>
        <v>1942843.333333333</v>
      </c>
      <c r="F57" s="9">
        <f t="shared" si="13"/>
        <v>1942843.333333333</v>
      </c>
      <c r="G57" s="9">
        <f t="shared" si="13"/>
        <v>1942843.333333333</v>
      </c>
      <c r="H57" s="9">
        <f t="shared" si="13"/>
        <v>1942843.333333333</v>
      </c>
      <c r="I57" s="9">
        <f t="shared" si="13"/>
        <v>1942843.333333333</v>
      </c>
      <c r="J57" s="9">
        <f t="shared" si="13"/>
        <v>1942843.333333333</v>
      </c>
      <c r="K57" s="9">
        <f t="shared" si="13"/>
        <v>1942843.333333333</v>
      </c>
      <c r="L57" s="9">
        <f t="shared" si="13"/>
        <v>1942843.333333333</v>
      </c>
      <c r="M57" s="9">
        <f t="shared" si="13"/>
        <v>1942843.333333333</v>
      </c>
      <c r="N57" s="9">
        <f t="shared" si="13"/>
        <v>4105097.333333333</v>
      </c>
      <c r="O57" s="9">
        <f t="shared" si="13"/>
        <v>4105097.333333333</v>
      </c>
      <c r="P57" s="9">
        <f t="shared" si="13"/>
        <v>4105097.333333333</v>
      </c>
      <c r="Q57" s="9">
        <f t="shared" si="13"/>
        <v>4105097.333333333</v>
      </c>
      <c r="R57" s="9">
        <f t="shared" si="13"/>
        <v>4105097.333333333</v>
      </c>
      <c r="S57" s="9">
        <f t="shared" si="13"/>
        <v>4105097.333333333</v>
      </c>
      <c r="T57" s="9">
        <f t="shared" si="13"/>
        <v>4105097.333333333</v>
      </c>
      <c r="U57" s="9">
        <f t="shared" si="13"/>
        <v>4105097.333333333</v>
      </c>
      <c r="V57" s="9">
        <f t="shared" si="13"/>
        <v>4105097.333333333</v>
      </c>
      <c r="W57" s="9">
        <f t="shared" si="13"/>
        <v>4105097.333333333</v>
      </c>
      <c r="X57" s="9">
        <f t="shared" si="13"/>
        <v>4105097.333333333</v>
      </c>
      <c r="Y57" s="9">
        <f t="shared" si="13"/>
        <v>4105097.333333333</v>
      </c>
      <c r="Z57" s="9">
        <f t="shared" si="13"/>
        <v>6952404.666666666</v>
      </c>
      <c r="AA57" s="9">
        <f t="shared" si="13"/>
        <v>6952404.666666666</v>
      </c>
      <c r="AB57" s="9">
        <f t="shared" si="13"/>
        <v>6952404.666666666</v>
      </c>
      <c r="AC57" s="9">
        <f t="shared" si="13"/>
        <v>6952404.666666666</v>
      </c>
      <c r="AD57" s="9">
        <f t="shared" si="13"/>
        <v>6952404.666666666</v>
      </c>
      <c r="AE57" s="9">
        <f t="shared" si="13"/>
        <v>6952404.666666666</v>
      </c>
      <c r="AF57" s="9">
        <f t="shared" si="13"/>
        <v>6952404.666666666</v>
      </c>
      <c r="AG57" s="9">
        <f t="shared" si="13"/>
        <v>6952404.666666666</v>
      </c>
      <c r="AH57" s="9">
        <f t="shared" si="13"/>
        <v>6952404.666666666</v>
      </c>
      <c r="AI57" s="9">
        <f t="shared" si="13"/>
        <v>6952404.666666666</v>
      </c>
      <c r="AJ57" s="9">
        <f t="shared" si="13"/>
        <v>6952404.666666666</v>
      </c>
      <c r="AK57" s="9">
        <f t="shared" si="13"/>
        <v>6952404.666666666</v>
      </c>
      <c r="AL57" s="9">
        <f t="shared" si="13"/>
        <v>10900323.333333332</v>
      </c>
      <c r="AM57" s="9">
        <f t="shared" si="13"/>
        <v>10900323.333333332</v>
      </c>
      <c r="AN57" s="9">
        <f t="shared" si="13"/>
        <v>10900323.333333332</v>
      </c>
      <c r="AO57" s="9">
        <f t="shared" si="13"/>
        <v>10900323.333333332</v>
      </c>
      <c r="AP57" s="9">
        <f t="shared" si="13"/>
        <v>10900323.333333332</v>
      </c>
      <c r="AQ57" s="9">
        <f t="shared" si="13"/>
        <v>10900323.333333332</v>
      </c>
      <c r="AR57" s="9">
        <f t="shared" si="13"/>
        <v>10900323.333333332</v>
      </c>
      <c r="AS57" s="9">
        <f t="shared" si="13"/>
        <v>10900323.333333332</v>
      </c>
      <c r="AT57" s="9">
        <f t="shared" si="13"/>
        <v>10900323.333333332</v>
      </c>
      <c r="AU57" s="9">
        <f t="shared" si="13"/>
        <v>10900323.333333332</v>
      </c>
      <c r="AV57" s="9">
        <f t="shared" si="13"/>
        <v>10900323.333333332</v>
      </c>
      <c r="AW57" s="9">
        <f t="shared" si="13"/>
        <v>10900323.333333332</v>
      </c>
      <c r="AX57" s="9">
        <f t="shared" si="13"/>
        <v>10924323.333333332</v>
      </c>
      <c r="AY57" s="9">
        <f t="shared" si="13"/>
        <v>0</v>
      </c>
      <c r="AZ57" s="9">
        <f t="shared" si="13"/>
        <v>0</v>
      </c>
      <c r="BA57" s="9">
        <f t="shared" si="13"/>
        <v>0</v>
      </c>
      <c r="BB57" s="9">
        <f t="shared" si="13"/>
        <v>0</v>
      </c>
      <c r="BC57" s="9">
        <f t="shared" si="13"/>
        <v>0</v>
      </c>
      <c r="BD57" s="9">
        <f t="shared" si="13"/>
        <v>0</v>
      </c>
      <c r="BE57" s="9">
        <f t="shared" si="13"/>
        <v>0</v>
      </c>
      <c r="BF57" s="9">
        <f t="shared" si="13"/>
        <v>0</v>
      </c>
      <c r="BG57" s="9">
        <f t="shared" si="13"/>
        <v>0</v>
      </c>
      <c r="BH57" s="9">
        <f t="shared" si="13"/>
        <v>0</v>
      </c>
      <c r="BI57" s="9">
        <f t="shared" si="13"/>
        <v>0</v>
      </c>
    </row>
    <row r="60" spans="1:61" x14ac:dyDescent="0.3">
      <c r="A60" s="120" t="s">
        <v>154</v>
      </c>
      <c r="B60" s="103">
        <f>Año1</f>
        <v>2027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>
        <f>Año2</f>
        <v>2028</v>
      </c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>
        <f>Año3</f>
        <v>2029</v>
      </c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>
        <f>Año4</f>
        <v>2030</v>
      </c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>
        <f>Año5</f>
        <v>2031</v>
      </c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</row>
    <row r="61" spans="1:61" x14ac:dyDescent="0.3">
      <c r="A61" s="120"/>
      <c r="B61" s="54" t="str">
        <f>B29</f>
        <v>Mes 1</v>
      </c>
      <c r="C61" s="54" t="str">
        <f t="shared" ref="C61:BI61" si="14">C29</f>
        <v>Mes 2</v>
      </c>
      <c r="D61" s="54" t="str">
        <f t="shared" si="14"/>
        <v>Mes 3</v>
      </c>
      <c r="E61" s="54" t="str">
        <f t="shared" si="14"/>
        <v>Mes 4</v>
      </c>
      <c r="F61" s="54" t="str">
        <f t="shared" si="14"/>
        <v>Mes 5</v>
      </c>
      <c r="G61" s="54" t="str">
        <f t="shared" si="14"/>
        <v>Mes 6</v>
      </c>
      <c r="H61" s="54" t="str">
        <f t="shared" si="14"/>
        <v>Mes 7</v>
      </c>
      <c r="I61" s="54" t="str">
        <f t="shared" si="14"/>
        <v>Mes 8</v>
      </c>
      <c r="J61" s="54" t="str">
        <f t="shared" si="14"/>
        <v>Mes 9</v>
      </c>
      <c r="K61" s="54" t="str">
        <f t="shared" si="14"/>
        <v>Mes 10</v>
      </c>
      <c r="L61" s="54" t="str">
        <f t="shared" si="14"/>
        <v>Mes 11</v>
      </c>
      <c r="M61" s="54" t="str">
        <f t="shared" si="14"/>
        <v>Mes 12</v>
      </c>
      <c r="N61" s="54" t="str">
        <f t="shared" si="14"/>
        <v>Mes 13</v>
      </c>
      <c r="O61" s="54" t="str">
        <f t="shared" si="14"/>
        <v>Mes 14</v>
      </c>
      <c r="P61" s="54" t="str">
        <f t="shared" si="14"/>
        <v>Mes 15</v>
      </c>
      <c r="Q61" s="54" t="str">
        <f t="shared" si="14"/>
        <v>Mes 16</v>
      </c>
      <c r="R61" s="54" t="str">
        <f t="shared" si="14"/>
        <v>Mes 17</v>
      </c>
      <c r="S61" s="54" t="str">
        <f t="shared" si="14"/>
        <v>Mes 18</v>
      </c>
      <c r="T61" s="54" t="str">
        <f t="shared" si="14"/>
        <v>Mes 19</v>
      </c>
      <c r="U61" s="54" t="str">
        <f t="shared" si="14"/>
        <v>Mes 20</v>
      </c>
      <c r="V61" s="54" t="str">
        <f t="shared" si="14"/>
        <v>Mes 21</v>
      </c>
      <c r="W61" s="54" t="str">
        <f t="shared" si="14"/>
        <v>Mes 22</v>
      </c>
      <c r="X61" s="54" t="str">
        <f t="shared" si="14"/>
        <v>Mes 23</v>
      </c>
      <c r="Y61" s="54" t="str">
        <f t="shared" si="14"/>
        <v>Mes 24</v>
      </c>
      <c r="Z61" s="54" t="str">
        <f t="shared" si="14"/>
        <v>Mes 25</v>
      </c>
      <c r="AA61" s="54" t="str">
        <f t="shared" si="14"/>
        <v>Mes 26</v>
      </c>
      <c r="AB61" s="54" t="str">
        <f t="shared" si="14"/>
        <v>Mes 27</v>
      </c>
      <c r="AC61" s="54" t="str">
        <f t="shared" si="14"/>
        <v>Mes 28</v>
      </c>
      <c r="AD61" s="54" t="str">
        <f t="shared" si="14"/>
        <v>Mes 29</v>
      </c>
      <c r="AE61" s="54" t="str">
        <f t="shared" si="14"/>
        <v>Mes 30</v>
      </c>
      <c r="AF61" s="54" t="str">
        <f t="shared" si="14"/>
        <v>Mes 31</v>
      </c>
      <c r="AG61" s="54" t="str">
        <f t="shared" si="14"/>
        <v>Mes 32</v>
      </c>
      <c r="AH61" s="54" t="str">
        <f t="shared" si="14"/>
        <v>Mes 33</v>
      </c>
      <c r="AI61" s="54" t="str">
        <f t="shared" si="14"/>
        <v>Mes 34</v>
      </c>
      <c r="AJ61" s="54" t="str">
        <f t="shared" si="14"/>
        <v>Mes 35</v>
      </c>
      <c r="AK61" s="54" t="str">
        <f t="shared" si="14"/>
        <v>Mes 36</v>
      </c>
      <c r="AL61" s="54" t="str">
        <f t="shared" si="14"/>
        <v>Mes 37</v>
      </c>
      <c r="AM61" s="54" t="str">
        <f t="shared" si="14"/>
        <v>Mes 38</v>
      </c>
      <c r="AN61" s="54" t="str">
        <f t="shared" si="14"/>
        <v>Mes 39</v>
      </c>
      <c r="AO61" s="54" t="str">
        <f t="shared" si="14"/>
        <v>Mes 40</v>
      </c>
      <c r="AP61" s="54" t="str">
        <f t="shared" si="14"/>
        <v>Mes 41</v>
      </c>
      <c r="AQ61" s="54" t="str">
        <f t="shared" si="14"/>
        <v>Mes 42</v>
      </c>
      <c r="AR61" s="54" t="str">
        <f t="shared" si="14"/>
        <v>Mes 43</v>
      </c>
      <c r="AS61" s="54" t="str">
        <f t="shared" si="14"/>
        <v>Mes 44</v>
      </c>
      <c r="AT61" s="54" t="str">
        <f t="shared" si="14"/>
        <v>Mes 45</v>
      </c>
      <c r="AU61" s="54" t="str">
        <f t="shared" si="14"/>
        <v>Mes 46</v>
      </c>
      <c r="AV61" s="54" t="str">
        <f t="shared" si="14"/>
        <v>Mes 47</v>
      </c>
      <c r="AW61" s="54" t="str">
        <f t="shared" si="14"/>
        <v>Mes 48</v>
      </c>
      <c r="AX61" s="54" t="str">
        <f t="shared" si="14"/>
        <v>Mes 49</v>
      </c>
      <c r="AY61" s="54" t="str">
        <f t="shared" si="14"/>
        <v>Mes 50</v>
      </c>
      <c r="AZ61" s="54" t="str">
        <f t="shared" si="14"/>
        <v>Mes 51</v>
      </c>
      <c r="BA61" s="54" t="str">
        <f t="shared" si="14"/>
        <v>Mes 52</v>
      </c>
      <c r="BB61" s="54" t="str">
        <f t="shared" si="14"/>
        <v>Mes 53</v>
      </c>
      <c r="BC61" s="54" t="str">
        <f t="shared" si="14"/>
        <v>Mes 54</v>
      </c>
      <c r="BD61" s="54" t="str">
        <f t="shared" si="14"/>
        <v>Mes 55</v>
      </c>
      <c r="BE61" s="54" t="str">
        <f t="shared" si="14"/>
        <v>Mes 56</v>
      </c>
      <c r="BF61" s="54" t="str">
        <f t="shared" si="14"/>
        <v>Mes 57</v>
      </c>
      <c r="BG61" s="54" t="str">
        <f t="shared" si="14"/>
        <v>Mes 58</v>
      </c>
      <c r="BH61" s="54" t="str">
        <f t="shared" si="14"/>
        <v>Mes 59</v>
      </c>
      <c r="BI61" s="54" t="str">
        <f t="shared" si="14"/>
        <v>Mes 60</v>
      </c>
    </row>
    <row r="62" spans="1:61" x14ac:dyDescent="0.3">
      <c r="A62" s="2" t="s">
        <v>155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0</v>
      </c>
      <c r="AQ62" s="27">
        <v>0</v>
      </c>
      <c r="AR62" s="27">
        <v>0</v>
      </c>
      <c r="AS62" s="27">
        <v>0</v>
      </c>
      <c r="AT62" s="27">
        <v>0</v>
      </c>
      <c r="AU62" s="27">
        <v>0</v>
      </c>
      <c r="AV62" s="27">
        <v>0</v>
      </c>
      <c r="AW62" s="27">
        <v>0</v>
      </c>
      <c r="AX62" s="27">
        <v>0</v>
      </c>
      <c r="AY62" s="27">
        <v>0</v>
      </c>
      <c r="AZ62" s="27">
        <v>0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</row>
    <row r="63" spans="1:61" x14ac:dyDescent="0.3">
      <c r="A63" s="2" t="s">
        <v>156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</row>
    <row r="65" spans="1:61" x14ac:dyDescent="0.3">
      <c r="A65" s="8" t="s">
        <v>157</v>
      </c>
      <c r="B65" s="9">
        <f>B25+B47+B57</f>
        <v>5612170.333333333</v>
      </c>
      <c r="C65" s="9">
        <f t="shared" ref="C65:BI65" si="15">C25+C47+C57</f>
        <v>5615490.333333333</v>
      </c>
      <c r="D65" s="9">
        <f t="shared" si="15"/>
        <v>5620138.333333333</v>
      </c>
      <c r="E65" s="9">
        <f t="shared" si="15"/>
        <v>5625450.333333333</v>
      </c>
      <c r="F65" s="9">
        <f t="shared" si="15"/>
        <v>5630762.333333333</v>
      </c>
      <c r="G65" s="9">
        <f t="shared" si="15"/>
        <v>5635410.333333333</v>
      </c>
      <c r="H65" s="9">
        <f t="shared" si="15"/>
        <v>5745800.333333333</v>
      </c>
      <c r="I65" s="9">
        <f t="shared" si="15"/>
        <v>5752440.333333333</v>
      </c>
      <c r="J65" s="9">
        <f t="shared" si="15"/>
        <v>5759080.333333333</v>
      </c>
      <c r="K65" s="9">
        <f t="shared" si="15"/>
        <v>5765720.333333333</v>
      </c>
      <c r="L65" s="9">
        <f t="shared" si="15"/>
        <v>5772360.333333333</v>
      </c>
      <c r="M65" s="9">
        <f t="shared" si="15"/>
        <v>5782320.333333333</v>
      </c>
      <c r="N65" s="9">
        <f t="shared" si="15"/>
        <v>11867447.333333332</v>
      </c>
      <c r="O65" s="9">
        <f t="shared" si="15"/>
        <v>11881143.333333332</v>
      </c>
      <c r="P65" s="9">
        <f t="shared" si="15"/>
        <v>11894839.333333332</v>
      </c>
      <c r="Q65" s="9">
        <f t="shared" si="15"/>
        <v>11908535.333333332</v>
      </c>
      <c r="R65" s="9">
        <f t="shared" si="15"/>
        <v>11925655.333333332</v>
      </c>
      <c r="S65" s="9">
        <f t="shared" si="15"/>
        <v>11942775.333333332</v>
      </c>
      <c r="T65" s="9">
        <f t="shared" si="15"/>
        <v>11959895.333333332</v>
      </c>
      <c r="U65" s="9">
        <f t="shared" si="15"/>
        <v>11980439.333333332</v>
      </c>
      <c r="V65" s="9">
        <f t="shared" si="15"/>
        <v>12000983.333333332</v>
      </c>
      <c r="W65" s="9">
        <f t="shared" si="15"/>
        <v>12021527.333333332</v>
      </c>
      <c r="X65" s="9">
        <f t="shared" si="15"/>
        <v>12042071.333333332</v>
      </c>
      <c r="Y65" s="9">
        <f t="shared" si="15"/>
        <v>12069463.333333332</v>
      </c>
      <c r="Z65" s="9">
        <f t="shared" si="15"/>
        <v>20974292.666666664</v>
      </c>
      <c r="AA65" s="9">
        <f t="shared" si="15"/>
        <v>21002516.666666664</v>
      </c>
      <c r="AB65" s="9">
        <f t="shared" si="15"/>
        <v>21034268.666666664</v>
      </c>
      <c r="AC65" s="9">
        <f t="shared" si="15"/>
        <v>21066020.666666664</v>
      </c>
      <c r="AD65" s="9">
        <f t="shared" si="15"/>
        <v>21101300.666666664</v>
      </c>
      <c r="AE65" s="9">
        <f t="shared" si="15"/>
        <v>21136580.666666664</v>
      </c>
      <c r="AF65" s="9">
        <f t="shared" si="15"/>
        <v>21175388.666666664</v>
      </c>
      <c r="AG65" s="9">
        <f t="shared" si="15"/>
        <v>21214196.666666664</v>
      </c>
      <c r="AH65" s="9">
        <f t="shared" si="15"/>
        <v>21256532.666666664</v>
      </c>
      <c r="AI65" s="9">
        <f t="shared" si="15"/>
        <v>21298868.666666664</v>
      </c>
      <c r="AJ65" s="9">
        <f t="shared" si="15"/>
        <v>21341204.666666664</v>
      </c>
      <c r="AK65" s="9">
        <f t="shared" si="15"/>
        <v>21390596.666666664</v>
      </c>
      <c r="AL65" s="9">
        <f t="shared" si="15"/>
        <v>33593507.333333328</v>
      </c>
      <c r="AM65" s="9">
        <f t="shared" si="15"/>
        <v>33642899.333333328</v>
      </c>
      <c r="AN65" s="9">
        <f t="shared" si="15"/>
        <v>33692291.333333328</v>
      </c>
      <c r="AO65" s="9">
        <f t="shared" si="15"/>
        <v>33748739.333333328</v>
      </c>
      <c r="AP65" s="9">
        <f t="shared" si="15"/>
        <v>33805187.333333328</v>
      </c>
      <c r="AQ65" s="9">
        <f t="shared" si="15"/>
        <v>33861635.333333328</v>
      </c>
      <c r="AR65" s="9">
        <f t="shared" si="15"/>
        <v>33918083.333333328</v>
      </c>
      <c r="AS65" s="9">
        <f t="shared" si="15"/>
        <v>33974531.333333328</v>
      </c>
      <c r="AT65" s="9">
        <f t="shared" si="15"/>
        <v>34030979.333333328</v>
      </c>
      <c r="AU65" s="9">
        <f t="shared" si="15"/>
        <v>34094483.333333328</v>
      </c>
      <c r="AV65" s="9">
        <f t="shared" si="15"/>
        <v>34157987.333333328</v>
      </c>
      <c r="AW65" s="9">
        <f t="shared" si="15"/>
        <v>34228547.333333328</v>
      </c>
      <c r="AX65" s="9">
        <f t="shared" si="15"/>
        <v>34328707.333333328</v>
      </c>
      <c r="AY65" s="9">
        <f t="shared" si="15"/>
        <v>0</v>
      </c>
      <c r="AZ65" s="9">
        <f t="shared" si="15"/>
        <v>0</v>
      </c>
      <c r="BA65" s="9">
        <f t="shared" si="15"/>
        <v>0</v>
      </c>
      <c r="BB65" s="9">
        <f t="shared" si="15"/>
        <v>0</v>
      </c>
      <c r="BC65" s="9">
        <f t="shared" si="15"/>
        <v>0</v>
      </c>
      <c r="BD65" s="9">
        <f t="shared" si="15"/>
        <v>0</v>
      </c>
      <c r="BE65" s="9">
        <f t="shared" si="15"/>
        <v>0</v>
      </c>
      <c r="BF65" s="9">
        <f t="shared" si="15"/>
        <v>0</v>
      </c>
      <c r="BG65" s="9">
        <f t="shared" si="15"/>
        <v>0</v>
      </c>
      <c r="BH65" s="9">
        <f t="shared" si="15"/>
        <v>0</v>
      </c>
      <c r="BI65" s="9">
        <f t="shared" si="15"/>
        <v>0</v>
      </c>
    </row>
    <row r="67" spans="1:61" s="75" customFormat="1" ht="12" x14ac:dyDescent="0.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</row>
    <row r="68" spans="1:61" s="75" customFormat="1" ht="12" x14ac:dyDescent="0.25">
      <c r="A68" s="76" t="s">
        <v>60</v>
      </c>
    </row>
    <row r="69" spans="1:61" s="75" customFormat="1" ht="12" x14ac:dyDescent="0.25">
      <c r="A69" s="76" t="s">
        <v>61</v>
      </c>
    </row>
    <row r="70" spans="1:61" s="75" customFormat="1" ht="12" x14ac:dyDescent="0.25">
      <c r="A70" s="76" t="s">
        <v>130</v>
      </c>
    </row>
    <row r="71" spans="1:61" s="75" customFormat="1" ht="12" x14ac:dyDescent="0.25">
      <c r="A71" s="76" t="s">
        <v>63</v>
      </c>
    </row>
    <row r="72" spans="1:61" s="75" customFormat="1" ht="12" x14ac:dyDescent="0.25">
      <c r="A72" s="117" t="s">
        <v>64</v>
      </c>
      <c r="B72" s="117"/>
      <c r="C72" s="117"/>
      <c r="D72" s="117"/>
      <c r="E72" s="117"/>
      <c r="F72" s="117"/>
      <c r="G72" s="117"/>
    </row>
  </sheetData>
  <sheetProtection formatColumns="0"/>
  <mergeCells count="21">
    <mergeCell ref="B1:M4"/>
    <mergeCell ref="B5:M5"/>
    <mergeCell ref="A8:A9"/>
    <mergeCell ref="B8:M8"/>
    <mergeCell ref="N8:Y8"/>
    <mergeCell ref="Z8:AK8"/>
    <mergeCell ref="AL8:AW8"/>
    <mergeCell ref="AX8:BI8"/>
    <mergeCell ref="A72:G72"/>
    <mergeCell ref="A60:A61"/>
    <mergeCell ref="B60:M60"/>
    <mergeCell ref="N60:Y60"/>
    <mergeCell ref="Z60:AK60"/>
    <mergeCell ref="AL60:AW60"/>
    <mergeCell ref="AX60:BI60"/>
    <mergeCell ref="A28:A29"/>
    <mergeCell ref="B28:M28"/>
    <mergeCell ref="N28:Y28"/>
    <mergeCell ref="Z28:AK28"/>
    <mergeCell ref="AL28:AW28"/>
    <mergeCell ref="AX28:BI28"/>
  </mergeCells>
  <phoneticPr fontId="14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BI94"/>
  <sheetViews>
    <sheetView showGridLines="0" topLeftCell="A26" zoomScaleNormal="100" workbookViewId="0">
      <selection activeCell="A43" sqref="A43:AX44"/>
    </sheetView>
  </sheetViews>
  <sheetFormatPr baseColWidth="10" defaultColWidth="11" defaultRowHeight="15.6" x14ac:dyDescent="0.3"/>
  <cols>
    <col min="1" max="1" width="52.5" bestFit="1" customWidth="1"/>
    <col min="2" max="59" width="17.3984375" bestFit="1" customWidth="1"/>
    <col min="60" max="60" width="17.3984375" customWidth="1"/>
    <col min="61" max="61" width="17.3984375" bestFit="1" customWidth="1"/>
  </cols>
  <sheetData>
    <row r="1" spans="1:61" x14ac:dyDescent="0.3">
      <c r="B1" s="133" t="str">
        <f>CONCATENATE(INICIO!$B$10," ",INICIO!$B$11)</f>
        <v>TIZA S.A.S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pans="1:61" x14ac:dyDescent="0.3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spans="1:61" x14ac:dyDescent="0.3"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1:61" x14ac:dyDescent="0.3"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</row>
    <row r="5" spans="1:61" x14ac:dyDescent="0.3">
      <c r="B5" s="134" t="s">
        <v>158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</row>
    <row r="7" spans="1:61" x14ac:dyDescent="0.3">
      <c r="A7" s="3"/>
    </row>
    <row r="8" spans="1:61" x14ac:dyDescent="0.3">
      <c r="A8" s="120" t="s">
        <v>159</v>
      </c>
      <c r="B8" s="103">
        <f>Año1</f>
        <v>2027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>
        <f>Año2</f>
        <v>2028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>
        <f>Año3</f>
        <v>2029</v>
      </c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>
        <f>Año4</f>
        <v>2030</v>
      </c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>
        <f>Año5</f>
        <v>2031</v>
      </c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</row>
    <row r="9" spans="1:61" x14ac:dyDescent="0.3">
      <c r="A9" s="120"/>
      <c r="B9" s="54" t="s">
        <v>67</v>
      </c>
      <c r="C9" s="54" t="s">
        <v>68</v>
      </c>
      <c r="D9" s="54" t="s">
        <v>69</v>
      </c>
      <c r="E9" s="54" t="s">
        <v>70</v>
      </c>
      <c r="F9" s="54" t="s">
        <v>71</v>
      </c>
      <c r="G9" s="54" t="s">
        <v>72</v>
      </c>
      <c r="H9" s="54" t="s">
        <v>73</v>
      </c>
      <c r="I9" s="54" t="s">
        <v>74</v>
      </c>
      <c r="J9" s="54" t="s">
        <v>75</v>
      </c>
      <c r="K9" s="54" t="s">
        <v>76</v>
      </c>
      <c r="L9" s="54" t="s">
        <v>77</v>
      </c>
      <c r="M9" s="54" t="s">
        <v>78</v>
      </c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54" t="s">
        <v>85</v>
      </c>
      <c r="U9" s="54" t="s">
        <v>86</v>
      </c>
      <c r="V9" s="54" t="s">
        <v>87</v>
      </c>
      <c r="W9" s="54" t="s">
        <v>88</v>
      </c>
      <c r="X9" s="54" t="s">
        <v>89</v>
      </c>
      <c r="Y9" s="54" t="s">
        <v>90</v>
      </c>
      <c r="Z9" s="54" t="s">
        <v>91</v>
      </c>
      <c r="AA9" s="54" t="s">
        <v>92</v>
      </c>
      <c r="AB9" s="54" t="s">
        <v>93</v>
      </c>
      <c r="AC9" s="54" t="s">
        <v>94</v>
      </c>
      <c r="AD9" s="54" t="s">
        <v>95</v>
      </c>
      <c r="AE9" s="54" t="s">
        <v>96</v>
      </c>
      <c r="AF9" s="54" t="s">
        <v>97</v>
      </c>
      <c r="AG9" s="54" t="s">
        <v>98</v>
      </c>
      <c r="AH9" s="54" t="s">
        <v>99</v>
      </c>
      <c r="AI9" s="54" t="s">
        <v>100</v>
      </c>
      <c r="AJ9" s="54" t="s">
        <v>101</v>
      </c>
      <c r="AK9" s="54" t="s">
        <v>102</v>
      </c>
      <c r="AL9" s="54" t="s">
        <v>103</v>
      </c>
      <c r="AM9" s="54" t="s">
        <v>104</v>
      </c>
      <c r="AN9" s="54" t="s">
        <v>105</v>
      </c>
      <c r="AO9" s="54" t="s">
        <v>106</v>
      </c>
      <c r="AP9" s="54" t="s">
        <v>107</v>
      </c>
      <c r="AQ9" s="54" t="s">
        <v>108</v>
      </c>
      <c r="AR9" s="54" t="s">
        <v>109</v>
      </c>
      <c r="AS9" s="54" t="s">
        <v>110</v>
      </c>
      <c r="AT9" s="54" t="s">
        <v>111</v>
      </c>
      <c r="AU9" s="54" t="s">
        <v>112</v>
      </c>
      <c r="AV9" s="54" t="s">
        <v>113</v>
      </c>
      <c r="AW9" s="54" t="s">
        <v>114</v>
      </c>
      <c r="AX9" s="54" t="s">
        <v>115</v>
      </c>
      <c r="AY9" s="54" t="s">
        <v>116</v>
      </c>
      <c r="AZ9" s="54" t="s">
        <v>117</v>
      </c>
      <c r="BA9" s="54" t="s">
        <v>118</v>
      </c>
      <c r="BB9" s="54" t="s">
        <v>119</v>
      </c>
      <c r="BC9" s="54" t="s">
        <v>120</v>
      </c>
      <c r="BD9" s="54" t="s">
        <v>121</v>
      </c>
      <c r="BE9" s="54" t="s">
        <v>122</v>
      </c>
      <c r="BF9" s="54" t="s">
        <v>123</v>
      </c>
      <c r="BG9" s="54" t="s">
        <v>124</v>
      </c>
      <c r="BH9" s="54" t="s">
        <v>125</v>
      </c>
      <c r="BI9" s="54" t="s">
        <v>126</v>
      </c>
    </row>
    <row r="10" spans="1:61" x14ac:dyDescent="0.3">
      <c r="A10" s="2" t="s">
        <v>160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</row>
    <row r="11" spans="1:61" x14ac:dyDescent="0.3">
      <c r="A11" s="2" t="s">
        <v>161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</row>
    <row r="12" spans="1:61" x14ac:dyDescent="0.3">
      <c r="A12" s="1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</row>
    <row r="13" spans="1:61" x14ac:dyDescent="0.3">
      <c r="A13" s="1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</row>
    <row r="14" spans="1:61" x14ac:dyDescent="0.3">
      <c r="A14" s="1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</row>
    <row r="15" spans="1:61" x14ac:dyDescent="0.3">
      <c r="A15" s="8" t="s">
        <v>162</v>
      </c>
      <c r="B15" s="9">
        <f>SUM(B10:B14)</f>
        <v>0</v>
      </c>
      <c r="C15" s="9">
        <f>SUM(C10:C14)</f>
        <v>0</v>
      </c>
      <c r="D15" s="9">
        <f>SUM(D10:D14)</f>
        <v>0</v>
      </c>
      <c r="E15" s="9">
        <f>SUM(E10:E14)</f>
        <v>0</v>
      </c>
      <c r="F15" s="9">
        <f>SUM(F10:F14)</f>
        <v>0</v>
      </c>
      <c r="G15" s="9">
        <f>SUM(G10:G14)</f>
        <v>0</v>
      </c>
      <c r="H15" s="9">
        <f>SUM(H10:H14)</f>
        <v>0</v>
      </c>
      <c r="I15" s="9">
        <f>SUM(I10:I14)</f>
        <v>0</v>
      </c>
      <c r="J15" s="9">
        <f>SUM(J10:J14)</f>
        <v>0</v>
      </c>
      <c r="K15" s="9">
        <f>SUM(K10:K14)</f>
        <v>0</v>
      </c>
      <c r="L15" s="9">
        <f>SUM(L10:L14)</f>
        <v>0</v>
      </c>
      <c r="M15" s="9">
        <f>SUM(M10:M14)</f>
        <v>0</v>
      </c>
      <c r="N15" s="9">
        <f>SUM(N10:N14)</f>
        <v>0</v>
      </c>
      <c r="O15" s="9">
        <f>SUM(O10:O14)</f>
        <v>0</v>
      </c>
      <c r="P15" s="9">
        <f>SUM(P10:P14)</f>
        <v>0</v>
      </c>
      <c r="Q15" s="9">
        <f>SUM(Q10:Q14)</f>
        <v>0</v>
      </c>
      <c r="R15" s="9">
        <f>SUM(R10:R14)</f>
        <v>0</v>
      </c>
      <c r="S15" s="9">
        <f>SUM(S10:S14)</f>
        <v>0</v>
      </c>
      <c r="T15" s="9">
        <f>SUM(T10:T14)</f>
        <v>0</v>
      </c>
      <c r="U15" s="9">
        <f>SUM(U10:U14)</f>
        <v>0</v>
      </c>
      <c r="V15" s="9">
        <f>SUM(V10:V14)</f>
        <v>0</v>
      </c>
      <c r="W15" s="9">
        <f>SUM(W10:W14)</f>
        <v>0</v>
      </c>
      <c r="X15" s="9">
        <f>SUM(X10:X14)</f>
        <v>0</v>
      </c>
      <c r="Y15" s="9">
        <f>SUM(Y10:Y14)</f>
        <v>0</v>
      </c>
      <c r="Z15" s="9">
        <f>SUM(Z10:Z14)</f>
        <v>0</v>
      </c>
      <c r="AA15" s="9">
        <f>SUM(AA10:AA14)</f>
        <v>0</v>
      </c>
      <c r="AB15" s="9">
        <f>SUM(AB10:AB14)</f>
        <v>0</v>
      </c>
      <c r="AC15" s="9">
        <f>SUM(AC10:AC14)</f>
        <v>0</v>
      </c>
      <c r="AD15" s="9">
        <f>SUM(AD10:AD14)</f>
        <v>0</v>
      </c>
      <c r="AE15" s="9">
        <f>SUM(AE10:AE14)</f>
        <v>0</v>
      </c>
      <c r="AF15" s="9">
        <f>SUM(AF10:AF14)</f>
        <v>0</v>
      </c>
      <c r="AG15" s="9">
        <f>SUM(AG10:AG14)</f>
        <v>0</v>
      </c>
      <c r="AH15" s="9">
        <f>SUM(AH10:AH14)</f>
        <v>0</v>
      </c>
      <c r="AI15" s="9">
        <f>SUM(AI10:AI14)</f>
        <v>0</v>
      </c>
      <c r="AJ15" s="9">
        <f>SUM(AJ10:AJ14)</f>
        <v>0</v>
      </c>
      <c r="AK15" s="9">
        <f>SUM(AK10:AK14)</f>
        <v>0</v>
      </c>
      <c r="AL15" s="9">
        <f>SUM(AL10:AL14)</f>
        <v>0</v>
      </c>
      <c r="AM15" s="9">
        <f>SUM(AM10:AM14)</f>
        <v>0</v>
      </c>
      <c r="AN15" s="9">
        <f>SUM(AN10:AN14)</f>
        <v>0</v>
      </c>
      <c r="AO15" s="9">
        <f>SUM(AO10:AO14)</f>
        <v>0</v>
      </c>
      <c r="AP15" s="9">
        <f>SUM(AP10:AP14)</f>
        <v>0</v>
      </c>
      <c r="AQ15" s="9">
        <f>SUM(AQ10:AQ14)</f>
        <v>0</v>
      </c>
      <c r="AR15" s="9">
        <f>SUM(AR10:AR14)</f>
        <v>0</v>
      </c>
      <c r="AS15" s="9">
        <f>SUM(AS10:AS14)</f>
        <v>0</v>
      </c>
      <c r="AT15" s="9">
        <f>SUM(AT10:AT14)</f>
        <v>0</v>
      </c>
      <c r="AU15" s="9">
        <f>SUM(AU10:AU14)</f>
        <v>0</v>
      </c>
      <c r="AV15" s="9">
        <f>SUM(AV10:AV14)</f>
        <v>0</v>
      </c>
      <c r="AW15" s="9">
        <f>SUM(AW10:AW14)</f>
        <v>0</v>
      </c>
      <c r="AX15" s="9">
        <f>SUM(AX10:AX14)</f>
        <v>0</v>
      </c>
      <c r="AY15" s="9">
        <f>SUM(AY10:AY14)</f>
        <v>0</v>
      </c>
      <c r="AZ15" s="9">
        <f>SUM(AZ10:AZ14)</f>
        <v>0</v>
      </c>
      <c r="BA15" s="9">
        <f>SUM(BA10:BA14)</f>
        <v>0</v>
      </c>
      <c r="BB15" s="9">
        <f>SUM(BB10:BB14)</f>
        <v>0</v>
      </c>
      <c r="BC15" s="9">
        <f>SUM(BC10:BC14)</f>
        <v>0</v>
      </c>
      <c r="BD15" s="9">
        <f>SUM(BD10:BD14)</f>
        <v>0</v>
      </c>
      <c r="BE15" s="9">
        <f>SUM(BE10:BE14)</f>
        <v>0</v>
      </c>
      <c r="BF15" s="9">
        <f>SUM(BF10:BF14)</f>
        <v>0</v>
      </c>
      <c r="BG15" s="9">
        <f>SUM(BG10:BG14)</f>
        <v>0</v>
      </c>
      <c r="BH15" s="9">
        <f>SUM(BH10:BH14)</f>
        <v>0</v>
      </c>
      <c r="BI15" s="9">
        <f>SUM(BI10:BI14)</f>
        <v>0</v>
      </c>
    </row>
    <row r="17" spans="1:61" x14ac:dyDescent="0.3">
      <c r="A17" s="120" t="s">
        <v>163</v>
      </c>
      <c r="B17" s="103">
        <f>Año1</f>
        <v>2027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>
        <f>Año2</f>
        <v>2028</v>
      </c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>
        <f>Año3</f>
        <v>2029</v>
      </c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>
        <f>Año4</f>
        <v>2030</v>
      </c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>
        <f>Año5</f>
        <v>2031</v>
      </c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</row>
    <row r="18" spans="1:61" x14ac:dyDescent="0.3">
      <c r="A18" s="120"/>
      <c r="B18" s="54" t="str">
        <f>B9</f>
        <v>Mes 1</v>
      </c>
      <c r="C18" s="54" t="str">
        <f>C9</f>
        <v>Mes 2</v>
      </c>
      <c r="D18" s="54" t="str">
        <f>D9</f>
        <v>Mes 3</v>
      </c>
      <c r="E18" s="54" t="str">
        <f>E9</f>
        <v>Mes 4</v>
      </c>
      <c r="F18" s="54" t="str">
        <f>F9</f>
        <v>Mes 5</v>
      </c>
      <c r="G18" s="54" t="str">
        <f>G9</f>
        <v>Mes 6</v>
      </c>
      <c r="H18" s="54" t="str">
        <f>H9</f>
        <v>Mes 7</v>
      </c>
      <c r="I18" s="54" t="str">
        <f>I9</f>
        <v>Mes 8</v>
      </c>
      <c r="J18" s="54" t="str">
        <f>J9</f>
        <v>Mes 9</v>
      </c>
      <c r="K18" s="54" t="str">
        <f>K9</f>
        <v>Mes 10</v>
      </c>
      <c r="L18" s="54" t="str">
        <f>L9</f>
        <v>Mes 11</v>
      </c>
      <c r="M18" s="54" t="str">
        <f>M9</f>
        <v>Mes 12</v>
      </c>
      <c r="N18" s="54" t="str">
        <f>N9</f>
        <v>Mes 13</v>
      </c>
      <c r="O18" s="54" t="str">
        <f>O9</f>
        <v>Mes 14</v>
      </c>
      <c r="P18" s="54" t="str">
        <f>P9</f>
        <v>Mes 15</v>
      </c>
      <c r="Q18" s="54" t="str">
        <f>Q9</f>
        <v>Mes 16</v>
      </c>
      <c r="R18" s="54" t="str">
        <f>R9</f>
        <v>Mes 17</v>
      </c>
      <c r="S18" s="54" t="str">
        <f>S9</f>
        <v>Mes 18</v>
      </c>
      <c r="T18" s="54" t="str">
        <f>T9</f>
        <v>Mes 19</v>
      </c>
      <c r="U18" s="54" t="str">
        <f>U9</f>
        <v>Mes 20</v>
      </c>
      <c r="V18" s="54" t="str">
        <f>V9</f>
        <v>Mes 21</v>
      </c>
      <c r="W18" s="54" t="str">
        <f>W9</f>
        <v>Mes 22</v>
      </c>
      <c r="X18" s="54" t="str">
        <f>X9</f>
        <v>Mes 23</v>
      </c>
      <c r="Y18" s="54" t="str">
        <f>Y9</f>
        <v>Mes 24</v>
      </c>
      <c r="Z18" s="54" t="str">
        <f>Z9</f>
        <v>Mes 25</v>
      </c>
      <c r="AA18" s="54" t="str">
        <f>AA9</f>
        <v>Mes 26</v>
      </c>
      <c r="AB18" s="54" t="str">
        <f>AB9</f>
        <v>Mes 27</v>
      </c>
      <c r="AC18" s="54" t="str">
        <f>AC9</f>
        <v>Mes 28</v>
      </c>
      <c r="AD18" s="54" t="str">
        <f>AD9</f>
        <v>Mes 29</v>
      </c>
      <c r="AE18" s="54" t="str">
        <f>AE9</f>
        <v>Mes 30</v>
      </c>
      <c r="AF18" s="54" t="str">
        <f>AF9</f>
        <v>Mes 31</v>
      </c>
      <c r="AG18" s="54" t="str">
        <f>AG9</f>
        <v>Mes 32</v>
      </c>
      <c r="AH18" s="54" t="str">
        <f>AH9</f>
        <v>Mes 33</v>
      </c>
      <c r="AI18" s="54" t="str">
        <f>AI9</f>
        <v>Mes 34</v>
      </c>
      <c r="AJ18" s="54" t="str">
        <f>AJ9</f>
        <v>Mes 35</v>
      </c>
      <c r="AK18" s="54" t="str">
        <f>AK9</f>
        <v>Mes 36</v>
      </c>
      <c r="AL18" s="54" t="str">
        <f>AL9</f>
        <v>Mes 37</v>
      </c>
      <c r="AM18" s="54" t="str">
        <f>AM9</f>
        <v>Mes 38</v>
      </c>
      <c r="AN18" s="54" t="str">
        <f>AN9</f>
        <v>Mes 39</v>
      </c>
      <c r="AO18" s="54" t="str">
        <f>AO9</f>
        <v>Mes 40</v>
      </c>
      <c r="AP18" s="54" t="str">
        <f>AP9</f>
        <v>Mes 41</v>
      </c>
      <c r="AQ18" s="54" t="str">
        <f>AQ9</f>
        <v>Mes 42</v>
      </c>
      <c r="AR18" s="54" t="str">
        <f>AR9</f>
        <v>Mes 43</v>
      </c>
      <c r="AS18" s="54" t="str">
        <f>AS9</f>
        <v>Mes 44</v>
      </c>
      <c r="AT18" s="54" t="str">
        <f>AT9</f>
        <v>Mes 45</v>
      </c>
      <c r="AU18" s="54" t="str">
        <f>AU9</f>
        <v>Mes 46</v>
      </c>
      <c r="AV18" s="54" t="str">
        <f>AV9</f>
        <v>Mes 47</v>
      </c>
      <c r="AW18" s="54" t="str">
        <f>AW9</f>
        <v>Mes 48</v>
      </c>
      <c r="AX18" s="54" t="str">
        <f>AX9</f>
        <v>Mes 49</v>
      </c>
      <c r="AY18" s="54" t="str">
        <f>AY9</f>
        <v>Mes 50</v>
      </c>
      <c r="AZ18" s="54" t="str">
        <f>AZ9</f>
        <v>Mes 51</v>
      </c>
      <c r="BA18" s="54" t="str">
        <f>BA9</f>
        <v>Mes 52</v>
      </c>
      <c r="BB18" s="54" t="str">
        <f>BB9</f>
        <v>Mes 53</v>
      </c>
      <c r="BC18" s="54" t="str">
        <f>BC9</f>
        <v>Mes 54</v>
      </c>
      <c r="BD18" s="54" t="str">
        <f>BD9</f>
        <v>Mes 55</v>
      </c>
      <c r="BE18" s="54" t="str">
        <f>BE9</f>
        <v>Mes 56</v>
      </c>
      <c r="BF18" s="54" t="str">
        <f>BF9</f>
        <v>Mes 57</v>
      </c>
      <c r="BG18" s="54" t="str">
        <f>BG9</f>
        <v>Mes 58</v>
      </c>
      <c r="BH18" s="54" t="str">
        <f>BH9</f>
        <v>Mes 59</v>
      </c>
      <c r="BI18" s="54" t="str">
        <f>BI9</f>
        <v>Mes 60</v>
      </c>
    </row>
    <row r="19" spans="1:61" x14ac:dyDescent="0.3">
      <c r="A19" s="2" t="s">
        <v>164</v>
      </c>
      <c r="B19" s="160">
        <v>300000</v>
      </c>
      <c r="C19" s="160">
        <v>300000</v>
      </c>
      <c r="D19" s="160">
        <v>300000</v>
      </c>
      <c r="E19" s="160">
        <v>300000</v>
      </c>
      <c r="F19" s="160">
        <v>300000</v>
      </c>
      <c r="G19" s="160">
        <v>300000</v>
      </c>
      <c r="H19" s="160">
        <v>300000</v>
      </c>
      <c r="I19" s="160">
        <v>300000</v>
      </c>
      <c r="J19" s="160">
        <v>300000</v>
      </c>
      <c r="K19" s="160">
        <v>300000</v>
      </c>
      <c r="L19" s="160">
        <v>300000</v>
      </c>
      <c r="M19" s="160">
        <v>300000</v>
      </c>
      <c r="N19" s="160">
        <v>500000</v>
      </c>
      <c r="O19" s="160">
        <v>500000</v>
      </c>
      <c r="P19" s="160">
        <v>500000</v>
      </c>
      <c r="Q19" s="160">
        <v>500000</v>
      </c>
      <c r="R19" s="160">
        <v>500000</v>
      </c>
      <c r="S19" s="160">
        <v>500000</v>
      </c>
      <c r="T19" s="160">
        <v>500000</v>
      </c>
      <c r="U19" s="160">
        <v>500000</v>
      </c>
      <c r="V19" s="160">
        <v>500000</v>
      </c>
      <c r="W19" s="160">
        <v>500000</v>
      </c>
      <c r="X19" s="160">
        <v>500000</v>
      </c>
      <c r="Y19" s="160">
        <v>500000</v>
      </c>
      <c r="Z19" s="160">
        <v>800000</v>
      </c>
      <c r="AA19" s="160">
        <v>800000</v>
      </c>
      <c r="AB19" s="160">
        <v>800000</v>
      </c>
      <c r="AC19" s="160">
        <v>800000</v>
      </c>
      <c r="AD19" s="160">
        <v>800000</v>
      </c>
      <c r="AE19" s="160">
        <v>800000</v>
      </c>
      <c r="AF19" s="160">
        <v>800000</v>
      </c>
      <c r="AG19" s="160">
        <v>800000</v>
      </c>
      <c r="AH19" s="160">
        <v>800000</v>
      </c>
      <c r="AI19" s="160">
        <v>800000</v>
      </c>
      <c r="AJ19" s="160">
        <v>800000</v>
      </c>
      <c r="AK19" s="160">
        <v>800000</v>
      </c>
      <c r="AL19" s="160">
        <v>1200000</v>
      </c>
      <c r="AM19" s="160">
        <v>1200000</v>
      </c>
      <c r="AN19" s="160">
        <v>1200000</v>
      </c>
      <c r="AO19" s="160">
        <v>1200000</v>
      </c>
      <c r="AP19" s="160">
        <v>1200000</v>
      </c>
      <c r="AQ19" s="160">
        <v>1200000</v>
      </c>
      <c r="AR19" s="160">
        <v>1200000</v>
      </c>
      <c r="AS19" s="160">
        <v>1200000</v>
      </c>
      <c r="AT19" s="160">
        <v>1200000</v>
      </c>
      <c r="AU19" s="160">
        <v>1200000</v>
      </c>
      <c r="AV19" s="160">
        <v>1200000</v>
      </c>
      <c r="AW19" s="160">
        <v>1200000</v>
      </c>
      <c r="AX19" s="160">
        <v>1500000</v>
      </c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</row>
    <row r="20" spans="1:61" x14ac:dyDescent="0.3">
      <c r="A20" s="2" t="s">
        <v>165</v>
      </c>
      <c r="B20" s="160">
        <v>0</v>
      </c>
      <c r="C20" s="160">
        <v>0</v>
      </c>
      <c r="D20" s="160">
        <v>0</v>
      </c>
      <c r="E20" s="160">
        <v>0</v>
      </c>
      <c r="F20" s="160">
        <v>0</v>
      </c>
      <c r="G20" s="160">
        <v>0</v>
      </c>
      <c r="H20" s="160">
        <v>0</v>
      </c>
      <c r="I20" s="160">
        <v>0</v>
      </c>
      <c r="J20" s="160">
        <v>0</v>
      </c>
      <c r="K20" s="160">
        <v>0</v>
      </c>
      <c r="L20" s="160">
        <v>0</v>
      </c>
      <c r="M20" s="160">
        <v>0</v>
      </c>
      <c r="N20" s="160">
        <v>0</v>
      </c>
      <c r="O20" s="160">
        <v>0</v>
      </c>
      <c r="P20" s="160">
        <v>0</v>
      </c>
      <c r="Q20" s="160">
        <v>0</v>
      </c>
      <c r="R20" s="160">
        <v>0</v>
      </c>
      <c r="S20" s="160">
        <v>0</v>
      </c>
      <c r="T20" s="160">
        <v>0</v>
      </c>
      <c r="U20" s="160">
        <v>0</v>
      </c>
      <c r="V20" s="160">
        <v>0</v>
      </c>
      <c r="W20" s="160">
        <v>0</v>
      </c>
      <c r="X20" s="160">
        <v>0</v>
      </c>
      <c r="Y20" s="160">
        <v>0</v>
      </c>
      <c r="Z20" s="160">
        <v>0</v>
      </c>
      <c r="AA20" s="160">
        <v>0</v>
      </c>
      <c r="AB20" s="160">
        <v>0</v>
      </c>
      <c r="AC20" s="160">
        <v>0</v>
      </c>
      <c r="AD20" s="160">
        <v>0</v>
      </c>
      <c r="AE20" s="160">
        <v>0</v>
      </c>
      <c r="AF20" s="160">
        <v>0</v>
      </c>
      <c r="AG20" s="160">
        <v>0</v>
      </c>
      <c r="AH20" s="160">
        <v>0</v>
      </c>
      <c r="AI20" s="160">
        <v>0</v>
      </c>
      <c r="AJ20" s="160">
        <v>0</v>
      </c>
      <c r="AK20" s="160">
        <v>0</v>
      </c>
      <c r="AL20" s="160">
        <v>0</v>
      </c>
      <c r="AM20" s="160">
        <v>0</v>
      </c>
      <c r="AN20" s="160">
        <v>0</v>
      </c>
      <c r="AO20" s="160">
        <v>0</v>
      </c>
      <c r="AP20" s="160">
        <v>0</v>
      </c>
      <c r="AQ20" s="160">
        <v>0</v>
      </c>
      <c r="AR20" s="160">
        <v>0</v>
      </c>
      <c r="AS20" s="160">
        <v>0</v>
      </c>
      <c r="AT20" s="160">
        <v>0</v>
      </c>
      <c r="AU20" s="160">
        <v>0</v>
      </c>
      <c r="AV20" s="160">
        <v>0</v>
      </c>
      <c r="AW20" s="160">
        <v>0</v>
      </c>
      <c r="AX20" s="160">
        <v>0</v>
      </c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</row>
    <row r="21" spans="1:61" x14ac:dyDescent="0.3">
      <c r="A21" s="1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</row>
    <row r="22" spans="1:61" x14ac:dyDescent="0.3">
      <c r="A22" s="1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</row>
    <row r="23" spans="1:61" x14ac:dyDescent="0.3">
      <c r="A23" s="1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</row>
    <row r="24" spans="1:61" x14ac:dyDescent="0.3">
      <c r="A24" s="8" t="s">
        <v>166</v>
      </c>
      <c r="B24" s="9">
        <f t="shared" ref="B24:AG24" si="0">SUM(B19:B23)</f>
        <v>300000</v>
      </c>
      <c r="C24" s="9">
        <f t="shared" si="0"/>
        <v>300000</v>
      </c>
      <c r="D24" s="9">
        <f t="shared" si="0"/>
        <v>300000</v>
      </c>
      <c r="E24" s="9">
        <f t="shared" si="0"/>
        <v>300000</v>
      </c>
      <c r="F24" s="9">
        <f t="shared" si="0"/>
        <v>300000</v>
      </c>
      <c r="G24" s="9">
        <f t="shared" si="0"/>
        <v>300000</v>
      </c>
      <c r="H24" s="9">
        <f t="shared" si="0"/>
        <v>300000</v>
      </c>
      <c r="I24" s="9">
        <f t="shared" si="0"/>
        <v>300000</v>
      </c>
      <c r="J24" s="9">
        <f t="shared" si="0"/>
        <v>300000</v>
      </c>
      <c r="K24" s="9">
        <f t="shared" si="0"/>
        <v>300000</v>
      </c>
      <c r="L24" s="9">
        <f t="shared" si="0"/>
        <v>300000</v>
      </c>
      <c r="M24" s="9">
        <f t="shared" si="0"/>
        <v>300000</v>
      </c>
      <c r="N24" s="9">
        <f t="shared" si="0"/>
        <v>500000</v>
      </c>
      <c r="O24" s="9">
        <f t="shared" si="0"/>
        <v>500000</v>
      </c>
      <c r="P24" s="9">
        <f t="shared" si="0"/>
        <v>500000</v>
      </c>
      <c r="Q24" s="9">
        <f t="shared" si="0"/>
        <v>500000</v>
      </c>
      <c r="R24" s="9">
        <f t="shared" si="0"/>
        <v>500000</v>
      </c>
      <c r="S24" s="9">
        <f t="shared" si="0"/>
        <v>500000</v>
      </c>
      <c r="T24" s="9">
        <f t="shared" si="0"/>
        <v>500000</v>
      </c>
      <c r="U24" s="9">
        <f t="shared" si="0"/>
        <v>500000</v>
      </c>
      <c r="V24" s="9">
        <f t="shared" si="0"/>
        <v>500000</v>
      </c>
      <c r="W24" s="9">
        <f t="shared" si="0"/>
        <v>500000</v>
      </c>
      <c r="X24" s="9">
        <f t="shared" si="0"/>
        <v>500000</v>
      </c>
      <c r="Y24" s="9">
        <f t="shared" si="0"/>
        <v>500000</v>
      </c>
      <c r="Z24" s="9">
        <f t="shared" si="0"/>
        <v>800000</v>
      </c>
      <c r="AA24" s="9">
        <f t="shared" si="0"/>
        <v>800000</v>
      </c>
      <c r="AB24" s="9">
        <f t="shared" si="0"/>
        <v>800000</v>
      </c>
      <c r="AC24" s="9">
        <f t="shared" si="0"/>
        <v>800000</v>
      </c>
      <c r="AD24" s="9">
        <f t="shared" si="0"/>
        <v>800000</v>
      </c>
      <c r="AE24" s="9">
        <f t="shared" si="0"/>
        <v>800000</v>
      </c>
      <c r="AF24" s="9">
        <f t="shared" si="0"/>
        <v>800000</v>
      </c>
      <c r="AG24" s="9">
        <f t="shared" si="0"/>
        <v>800000</v>
      </c>
      <c r="AH24" s="9">
        <f t="shared" ref="AH24:BI24" si="1">SUM(AH19:AH23)</f>
        <v>800000</v>
      </c>
      <c r="AI24" s="9">
        <f t="shared" si="1"/>
        <v>800000</v>
      </c>
      <c r="AJ24" s="9">
        <f t="shared" si="1"/>
        <v>800000</v>
      </c>
      <c r="AK24" s="9">
        <f t="shared" si="1"/>
        <v>800000</v>
      </c>
      <c r="AL24" s="9">
        <f t="shared" si="1"/>
        <v>1200000</v>
      </c>
      <c r="AM24" s="9">
        <f t="shared" si="1"/>
        <v>1200000</v>
      </c>
      <c r="AN24" s="9">
        <f t="shared" si="1"/>
        <v>1200000</v>
      </c>
      <c r="AO24" s="9">
        <f t="shared" si="1"/>
        <v>1200000</v>
      </c>
      <c r="AP24" s="9">
        <f t="shared" si="1"/>
        <v>1200000</v>
      </c>
      <c r="AQ24" s="9">
        <f t="shared" si="1"/>
        <v>1200000</v>
      </c>
      <c r="AR24" s="9">
        <f t="shared" si="1"/>
        <v>1200000</v>
      </c>
      <c r="AS24" s="9">
        <f t="shared" si="1"/>
        <v>1200000</v>
      </c>
      <c r="AT24" s="9">
        <f t="shared" si="1"/>
        <v>1200000</v>
      </c>
      <c r="AU24" s="9">
        <f t="shared" si="1"/>
        <v>1200000</v>
      </c>
      <c r="AV24" s="9">
        <f t="shared" si="1"/>
        <v>1200000</v>
      </c>
      <c r="AW24" s="9">
        <f t="shared" si="1"/>
        <v>1200000</v>
      </c>
      <c r="AX24" s="9">
        <f t="shared" si="1"/>
        <v>1500000</v>
      </c>
      <c r="AY24" s="9">
        <f t="shared" si="1"/>
        <v>0</v>
      </c>
      <c r="AZ24" s="9">
        <f t="shared" si="1"/>
        <v>0</v>
      </c>
      <c r="BA24" s="9">
        <f t="shared" si="1"/>
        <v>0</v>
      </c>
      <c r="BB24" s="9">
        <f t="shared" si="1"/>
        <v>0</v>
      </c>
      <c r="BC24" s="9">
        <f t="shared" si="1"/>
        <v>0</v>
      </c>
      <c r="BD24" s="9">
        <f t="shared" si="1"/>
        <v>0</v>
      </c>
      <c r="BE24" s="9">
        <f t="shared" si="1"/>
        <v>0</v>
      </c>
      <c r="BF24" s="9">
        <f t="shared" si="1"/>
        <v>0</v>
      </c>
      <c r="BG24" s="9">
        <f t="shared" si="1"/>
        <v>0</v>
      </c>
      <c r="BH24" s="9">
        <f t="shared" si="1"/>
        <v>0</v>
      </c>
      <c r="BI24" s="9">
        <f t="shared" si="1"/>
        <v>0</v>
      </c>
    </row>
    <row r="26" spans="1:61" x14ac:dyDescent="0.3">
      <c r="A26" s="120" t="s">
        <v>167</v>
      </c>
      <c r="B26" s="103">
        <f>Año1</f>
        <v>2027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>
        <f>Año2</f>
        <v>2028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>
        <f>Año3</f>
        <v>2029</v>
      </c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>
        <f>Año4</f>
        <v>2030</v>
      </c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>
        <f>Año5</f>
        <v>2031</v>
      </c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</row>
    <row r="27" spans="1:61" x14ac:dyDescent="0.3">
      <c r="A27" s="120"/>
      <c r="B27" s="54" t="str">
        <f>B18</f>
        <v>Mes 1</v>
      </c>
      <c r="C27" s="54" t="str">
        <f t="shared" ref="C27:BI27" si="2">C18</f>
        <v>Mes 2</v>
      </c>
      <c r="D27" s="54" t="str">
        <f t="shared" si="2"/>
        <v>Mes 3</v>
      </c>
      <c r="E27" s="54" t="str">
        <f t="shared" si="2"/>
        <v>Mes 4</v>
      </c>
      <c r="F27" s="54" t="str">
        <f t="shared" si="2"/>
        <v>Mes 5</v>
      </c>
      <c r="G27" s="54" t="str">
        <f t="shared" si="2"/>
        <v>Mes 6</v>
      </c>
      <c r="H27" s="54" t="str">
        <f t="shared" si="2"/>
        <v>Mes 7</v>
      </c>
      <c r="I27" s="54" t="str">
        <f t="shared" si="2"/>
        <v>Mes 8</v>
      </c>
      <c r="J27" s="54" t="str">
        <f t="shared" si="2"/>
        <v>Mes 9</v>
      </c>
      <c r="K27" s="54" t="str">
        <f t="shared" si="2"/>
        <v>Mes 10</v>
      </c>
      <c r="L27" s="54" t="str">
        <f t="shared" si="2"/>
        <v>Mes 11</v>
      </c>
      <c r="M27" s="54" t="str">
        <f t="shared" si="2"/>
        <v>Mes 12</v>
      </c>
      <c r="N27" s="54" t="str">
        <f t="shared" si="2"/>
        <v>Mes 13</v>
      </c>
      <c r="O27" s="54" t="str">
        <f t="shared" si="2"/>
        <v>Mes 14</v>
      </c>
      <c r="P27" s="54" t="str">
        <f t="shared" si="2"/>
        <v>Mes 15</v>
      </c>
      <c r="Q27" s="54" t="str">
        <f t="shared" si="2"/>
        <v>Mes 16</v>
      </c>
      <c r="R27" s="54" t="str">
        <f t="shared" si="2"/>
        <v>Mes 17</v>
      </c>
      <c r="S27" s="54" t="str">
        <f t="shared" si="2"/>
        <v>Mes 18</v>
      </c>
      <c r="T27" s="54" t="str">
        <f t="shared" si="2"/>
        <v>Mes 19</v>
      </c>
      <c r="U27" s="54" t="str">
        <f t="shared" si="2"/>
        <v>Mes 20</v>
      </c>
      <c r="V27" s="54" t="str">
        <f t="shared" si="2"/>
        <v>Mes 21</v>
      </c>
      <c r="W27" s="54" t="str">
        <f t="shared" si="2"/>
        <v>Mes 22</v>
      </c>
      <c r="X27" s="54" t="str">
        <f t="shared" si="2"/>
        <v>Mes 23</v>
      </c>
      <c r="Y27" s="54" t="str">
        <f t="shared" si="2"/>
        <v>Mes 24</v>
      </c>
      <c r="Z27" s="54" t="str">
        <f t="shared" si="2"/>
        <v>Mes 25</v>
      </c>
      <c r="AA27" s="54" t="str">
        <f t="shared" si="2"/>
        <v>Mes 26</v>
      </c>
      <c r="AB27" s="54" t="str">
        <f t="shared" si="2"/>
        <v>Mes 27</v>
      </c>
      <c r="AC27" s="54" t="str">
        <f t="shared" si="2"/>
        <v>Mes 28</v>
      </c>
      <c r="AD27" s="54" t="str">
        <f t="shared" si="2"/>
        <v>Mes 29</v>
      </c>
      <c r="AE27" s="54" t="str">
        <f t="shared" si="2"/>
        <v>Mes 30</v>
      </c>
      <c r="AF27" s="54" t="str">
        <f t="shared" si="2"/>
        <v>Mes 31</v>
      </c>
      <c r="AG27" s="54" t="str">
        <f t="shared" si="2"/>
        <v>Mes 32</v>
      </c>
      <c r="AH27" s="54" t="str">
        <f t="shared" si="2"/>
        <v>Mes 33</v>
      </c>
      <c r="AI27" s="54" t="str">
        <f t="shared" si="2"/>
        <v>Mes 34</v>
      </c>
      <c r="AJ27" s="54" t="str">
        <f t="shared" si="2"/>
        <v>Mes 35</v>
      </c>
      <c r="AK27" s="54" t="str">
        <f t="shared" si="2"/>
        <v>Mes 36</v>
      </c>
      <c r="AL27" s="54" t="str">
        <f t="shared" si="2"/>
        <v>Mes 37</v>
      </c>
      <c r="AM27" s="54" t="str">
        <f t="shared" si="2"/>
        <v>Mes 38</v>
      </c>
      <c r="AN27" s="54" t="str">
        <f t="shared" si="2"/>
        <v>Mes 39</v>
      </c>
      <c r="AO27" s="54" t="str">
        <f t="shared" si="2"/>
        <v>Mes 40</v>
      </c>
      <c r="AP27" s="54" t="str">
        <f t="shared" si="2"/>
        <v>Mes 41</v>
      </c>
      <c r="AQ27" s="54" t="str">
        <f t="shared" si="2"/>
        <v>Mes 42</v>
      </c>
      <c r="AR27" s="54" t="str">
        <f t="shared" si="2"/>
        <v>Mes 43</v>
      </c>
      <c r="AS27" s="54" t="str">
        <f t="shared" si="2"/>
        <v>Mes 44</v>
      </c>
      <c r="AT27" s="54" t="str">
        <f t="shared" si="2"/>
        <v>Mes 45</v>
      </c>
      <c r="AU27" s="54" t="str">
        <f t="shared" si="2"/>
        <v>Mes 46</v>
      </c>
      <c r="AV27" s="54" t="str">
        <f t="shared" si="2"/>
        <v>Mes 47</v>
      </c>
      <c r="AW27" s="54" t="str">
        <f t="shared" si="2"/>
        <v>Mes 48</v>
      </c>
      <c r="AX27" s="54" t="str">
        <f t="shared" si="2"/>
        <v>Mes 49</v>
      </c>
      <c r="AY27" s="54" t="str">
        <f t="shared" si="2"/>
        <v>Mes 50</v>
      </c>
      <c r="AZ27" s="54" t="str">
        <f t="shared" si="2"/>
        <v>Mes 51</v>
      </c>
      <c r="BA27" s="54" t="str">
        <f t="shared" si="2"/>
        <v>Mes 52</v>
      </c>
      <c r="BB27" s="54" t="str">
        <f t="shared" si="2"/>
        <v>Mes 53</v>
      </c>
      <c r="BC27" s="54" t="str">
        <f t="shared" si="2"/>
        <v>Mes 54</v>
      </c>
      <c r="BD27" s="54" t="str">
        <f t="shared" si="2"/>
        <v>Mes 55</v>
      </c>
      <c r="BE27" s="54" t="str">
        <f t="shared" si="2"/>
        <v>Mes 56</v>
      </c>
      <c r="BF27" s="54" t="str">
        <f t="shared" si="2"/>
        <v>Mes 57</v>
      </c>
      <c r="BG27" s="54" t="str">
        <f t="shared" si="2"/>
        <v>Mes 58</v>
      </c>
      <c r="BH27" s="54" t="str">
        <f t="shared" si="2"/>
        <v>Mes 59</v>
      </c>
      <c r="BI27" s="54" t="str">
        <f t="shared" si="2"/>
        <v>Mes 60</v>
      </c>
    </row>
    <row r="28" spans="1:61" x14ac:dyDescent="0.3">
      <c r="A28" s="2" t="s">
        <v>168</v>
      </c>
      <c r="B28" s="160">
        <v>0</v>
      </c>
      <c r="C28" s="160">
        <v>0</v>
      </c>
      <c r="D28" s="160">
        <v>0</v>
      </c>
      <c r="E28" s="160">
        <v>0</v>
      </c>
      <c r="F28" s="160">
        <v>0</v>
      </c>
      <c r="G28" s="160">
        <v>0</v>
      </c>
      <c r="H28" s="160">
        <v>0</v>
      </c>
      <c r="I28" s="160">
        <v>0</v>
      </c>
      <c r="J28" s="160">
        <v>0</v>
      </c>
      <c r="K28" s="160">
        <v>0</v>
      </c>
      <c r="L28" s="160">
        <v>0</v>
      </c>
      <c r="M28" s="160">
        <v>0</v>
      </c>
      <c r="N28" s="160">
        <v>0</v>
      </c>
      <c r="O28" s="160">
        <v>0</v>
      </c>
      <c r="P28" s="160">
        <v>0</v>
      </c>
      <c r="Q28" s="160">
        <v>0</v>
      </c>
      <c r="R28" s="160">
        <v>0</v>
      </c>
      <c r="S28" s="160">
        <v>0</v>
      </c>
      <c r="T28" s="160">
        <v>0</v>
      </c>
      <c r="U28" s="160">
        <v>0</v>
      </c>
      <c r="V28" s="160">
        <v>0</v>
      </c>
      <c r="W28" s="160">
        <v>0</v>
      </c>
      <c r="X28" s="160">
        <v>0</v>
      </c>
      <c r="Y28" s="160">
        <v>0</v>
      </c>
      <c r="Z28" s="160">
        <v>0</v>
      </c>
      <c r="AA28" s="160">
        <v>0</v>
      </c>
      <c r="AB28" s="160">
        <v>0</v>
      </c>
      <c r="AC28" s="160">
        <v>0</v>
      </c>
      <c r="AD28" s="160">
        <v>0</v>
      </c>
      <c r="AE28" s="160">
        <v>0</v>
      </c>
      <c r="AF28" s="160">
        <v>0</v>
      </c>
      <c r="AG28" s="160">
        <v>0</v>
      </c>
      <c r="AH28" s="160">
        <v>0</v>
      </c>
      <c r="AI28" s="160">
        <v>0</v>
      </c>
      <c r="AJ28" s="160">
        <v>0</v>
      </c>
      <c r="AK28" s="160">
        <v>0</v>
      </c>
      <c r="AL28" s="160">
        <v>0</v>
      </c>
      <c r="AM28" s="160">
        <v>0</v>
      </c>
      <c r="AN28" s="160">
        <v>0</v>
      </c>
      <c r="AO28" s="160">
        <v>0</v>
      </c>
      <c r="AP28" s="160">
        <v>0</v>
      </c>
      <c r="AQ28" s="160">
        <v>0</v>
      </c>
      <c r="AR28" s="160">
        <v>0</v>
      </c>
      <c r="AS28" s="160">
        <v>0</v>
      </c>
      <c r="AT28" s="160">
        <v>0</v>
      </c>
      <c r="AU28" s="160">
        <v>0</v>
      </c>
      <c r="AV28" s="160">
        <v>0</v>
      </c>
      <c r="AW28" s="160">
        <v>0</v>
      </c>
      <c r="AX28" s="160">
        <v>0</v>
      </c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</row>
    <row r="29" spans="1:61" x14ac:dyDescent="0.3">
      <c r="A29" s="2" t="s">
        <v>169</v>
      </c>
      <c r="B29" s="160">
        <v>0</v>
      </c>
      <c r="C29" s="160">
        <v>0</v>
      </c>
      <c r="D29" s="160">
        <v>0</v>
      </c>
      <c r="E29" s="160">
        <v>0</v>
      </c>
      <c r="F29" s="160">
        <v>0</v>
      </c>
      <c r="G29" s="160">
        <v>0</v>
      </c>
      <c r="H29" s="160">
        <v>0</v>
      </c>
      <c r="I29" s="160">
        <v>0</v>
      </c>
      <c r="J29" s="160">
        <v>0</v>
      </c>
      <c r="K29" s="160">
        <v>0</v>
      </c>
      <c r="L29" s="160">
        <v>0</v>
      </c>
      <c r="M29" s="160">
        <v>0</v>
      </c>
      <c r="N29" s="160">
        <v>0</v>
      </c>
      <c r="O29" s="160">
        <v>0</v>
      </c>
      <c r="P29" s="160">
        <v>0</v>
      </c>
      <c r="Q29" s="160">
        <v>0</v>
      </c>
      <c r="R29" s="160">
        <v>0</v>
      </c>
      <c r="S29" s="160">
        <v>0</v>
      </c>
      <c r="T29" s="160">
        <v>0</v>
      </c>
      <c r="U29" s="160">
        <v>0</v>
      </c>
      <c r="V29" s="160">
        <v>0</v>
      </c>
      <c r="W29" s="160">
        <v>0</v>
      </c>
      <c r="X29" s="160">
        <v>0</v>
      </c>
      <c r="Y29" s="160">
        <v>0</v>
      </c>
      <c r="Z29" s="160">
        <v>0</v>
      </c>
      <c r="AA29" s="160">
        <v>0</v>
      </c>
      <c r="AB29" s="160">
        <v>0</v>
      </c>
      <c r="AC29" s="160">
        <v>0</v>
      </c>
      <c r="AD29" s="160">
        <v>0</v>
      </c>
      <c r="AE29" s="160">
        <v>0</v>
      </c>
      <c r="AF29" s="160">
        <v>0</v>
      </c>
      <c r="AG29" s="160">
        <v>0</v>
      </c>
      <c r="AH29" s="160">
        <v>0</v>
      </c>
      <c r="AI29" s="160">
        <v>0</v>
      </c>
      <c r="AJ29" s="160">
        <v>0</v>
      </c>
      <c r="AK29" s="160">
        <v>0</v>
      </c>
      <c r="AL29" s="160">
        <v>0</v>
      </c>
      <c r="AM29" s="160">
        <v>0</v>
      </c>
      <c r="AN29" s="160">
        <v>0</v>
      </c>
      <c r="AO29" s="160">
        <v>0</v>
      </c>
      <c r="AP29" s="160">
        <v>0</v>
      </c>
      <c r="AQ29" s="160">
        <v>0</v>
      </c>
      <c r="AR29" s="160">
        <v>0</v>
      </c>
      <c r="AS29" s="160">
        <v>0</v>
      </c>
      <c r="AT29" s="160">
        <v>0</v>
      </c>
      <c r="AU29" s="160">
        <v>0</v>
      </c>
      <c r="AV29" s="160">
        <v>0</v>
      </c>
      <c r="AW29" s="160">
        <v>0</v>
      </c>
      <c r="AX29" s="160">
        <v>0</v>
      </c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</row>
    <row r="30" spans="1:61" x14ac:dyDescent="0.3">
      <c r="A30" s="2" t="s">
        <v>170</v>
      </c>
      <c r="B30" s="160">
        <v>0</v>
      </c>
      <c r="C30" s="160">
        <v>0</v>
      </c>
      <c r="D30" s="160">
        <v>0</v>
      </c>
      <c r="E30" s="160">
        <v>0</v>
      </c>
      <c r="F30" s="160">
        <v>0</v>
      </c>
      <c r="G30" s="160">
        <v>0</v>
      </c>
      <c r="H30" s="160">
        <v>0</v>
      </c>
      <c r="I30" s="160">
        <v>0</v>
      </c>
      <c r="J30" s="160">
        <v>0</v>
      </c>
      <c r="K30" s="160">
        <v>0</v>
      </c>
      <c r="L30" s="160">
        <v>0</v>
      </c>
      <c r="M30" s="160">
        <v>0</v>
      </c>
      <c r="N30" s="160">
        <v>0</v>
      </c>
      <c r="O30" s="160">
        <v>0</v>
      </c>
      <c r="P30" s="160">
        <v>0</v>
      </c>
      <c r="Q30" s="160">
        <v>0</v>
      </c>
      <c r="R30" s="160">
        <v>0</v>
      </c>
      <c r="S30" s="160">
        <v>0</v>
      </c>
      <c r="T30" s="160">
        <v>0</v>
      </c>
      <c r="U30" s="160">
        <v>0</v>
      </c>
      <c r="V30" s="160">
        <v>0</v>
      </c>
      <c r="W30" s="160">
        <v>0</v>
      </c>
      <c r="X30" s="160">
        <v>0</v>
      </c>
      <c r="Y30" s="160">
        <v>0</v>
      </c>
      <c r="Z30" s="160">
        <v>0</v>
      </c>
      <c r="AA30" s="160">
        <v>0</v>
      </c>
      <c r="AB30" s="160">
        <v>0</v>
      </c>
      <c r="AC30" s="160">
        <v>0</v>
      </c>
      <c r="AD30" s="160">
        <v>0</v>
      </c>
      <c r="AE30" s="160">
        <v>0</v>
      </c>
      <c r="AF30" s="160">
        <v>0</v>
      </c>
      <c r="AG30" s="160">
        <v>0</v>
      </c>
      <c r="AH30" s="160">
        <v>0</v>
      </c>
      <c r="AI30" s="160">
        <v>0</v>
      </c>
      <c r="AJ30" s="160">
        <v>0</v>
      </c>
      <c r="AK30" s="160">
        <v>0</v>
      </c>
      <c r="AL30" s="160">
        <v>0</v>
      </c>
      <c r="AM30" s="160">
        <v>0</v>
      </c>
      <c r="AN30" s="160">
        <v>0</v>
      </c>
      <c r="AO30" s="160">
        <v>0</v>
      </c>
      <c r="AP30" s="160">
        <v>0</v>
      </c>
      <c r="AQ30" s="160">
        <v>0</v>
      </c>
      <c r="AR30" s="160">
        <v>0</v>
      </c>
      <c r="AS30" s="160">
        <v>0</v>
      </c>
      <c r="AT30" s="160">
        <v>0</v>
      </c>
      <c r="AU30" s="160">
        <v>0</v>
      </c>
      <c r="AV30" s="160">
        <v>0</v>
      </c>
      <c r="AW30" s="160">
        <v>0</v>
      </c>
      <c r="AX30" s="160">
        <v>0</v>
      </c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</row>
    <row r="31" spans="1:61" x14ac:dyDescent="0.3">
      <c r="A31" s="2" t="s">
        <v>171</v>
      </c>
      <c r="B31" s="160">
        <v>0</v>
      </c>
      <c r="C31" s="160">
        <v>0</v>
      </c>
      <c r="D31" s="160">
        <v>0</v>
      </c>
      <c r="E31" s="160">
        <v>0</v>
      </c>
      <c r="F31" s="160">
        <v>0</v>
      </c>
      <c r="G31" s="160">
        <v>0</v>
      </c>
      <c r="H31" s="160">
        <v>0</v>
      </c>
      <c r="I31" s="160">
        <v>0</v>
      </c>
      <c r="J31" s="160">
        <v>0</v>
      </c>
      <c r="K31" s="160">
        <v>0</v>
      </c>
      <c r="L31" s="160">
        <v>0</v>
      </c>
      <c r="M31" s="160">
        <v>0</v>
      </c>
      <c r="N31" s="160">
        <v>500000</v>
      </c>
      <c r="O31" s="160">
        <v>500000</v>
      </c>
      <c r="P31" s="160">
        <v>500000</v>
      </c>
      <c r="Q31" s="160">
        <v>500000</v>
      </c>
      <c r="R31" s="160">
        <v>500000</v>
      </c>
      <c r="S31" s="160">
        <v>500000</v>
      </c>
      <c r="T31" s="160">
        <v>500000</v>
      </c>
      <c r="U31" s="160">
        <v>500000</v>
      </c>
      <c r="V31" s="160">
        <v>500000</v>
      </c>
      <c r="W31" s="160">
        <v>500000</v>
      </c>
      <c r="X31" s="160">
        <v>500000</v>
      </c>
      <c r="Y31" s="160">
        <v>500000</v>
      </c>
      <c r="Z31" s="160">
        <v>600000</v>
      </c>
      <c r="AA31" s="160">
        <v>600000</v>
      </c>
      <c r="AB31" s="160">
        <v>600000</v>
      </c>
      <c r="AC31" s="160">
        <v>600000</v>
      </c>
      <c r="AD31" s="160">
        <v>600000</v>
      </c>
      <c r="AE31" s="160">
        <v>600000</v>
      </c>
      <c r="AF31" s="160">
        <v>600000</v>
      </c>
      <c r="AG31" s="160">
        <v>600000</v>
      </c>
      <c r="AH31" s="160">
        <v>600000</v>
      </c>
      <c r="AI31" s="160">
        <v>600000</v>
      </c>
      <c r="AJ31" s="160">
        <v>600000</v>
      </c>
      <c r="AK31" s="160">
        <v>600000</v>
      </c>
      <c r="AL31" s="160">
        <v>700000</v>
      </c>
      <c r="AM31" s="160">
        <v>700000</v>
      </c>
      <c r="AN31" s="160">
        <v>700000</v>
      </c>
      <c r="AO31" s="160">
        <v>700000</v>
      </c>
      <c r="AP31" s="160">
        <v>700000</v>
      </c>
      <c r="AQ31" s="160">
        <v>700000</v>
      </c>
      <c r="AR31" s="160">
        <v>700000</v>
      </c>
      <c r="AS31" s="160">
        <v>700000</v>
      </c>
      <c r="AT31" s="160">
        <v>700000</v>
      </c>
      <c r="AU31" s="160">
        <v>700000</v>
      </c>
      <c r="AV31" s="160">
        <v>700000</v>
      </c>
      <c r="AW31" s="160">
        <v>700000</v>
      </c>
      <c r="AX31" s="160">
        <v>800000</v>
      </c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</row>
    <row r="32" spans="1:61" x14ac:dyDescent="0.3">
      <c r="A32" s="2" t="s">
        <v>172</v>
      </c>
      <c r="B32" s="160">
        <v>0</v>
      </c>
      <c r="C32" s="160">
        <v>0</v>
      </c>
      <c r="D32" s="160">
        <v>0</v>
      </c>
      <c r="E32" s="160">
        <v>0</v>
      </c>
      <c r="F32" s="160">
        <v>0</v>
      </c>
      <c r="G32" s="160">
        <v>0</v>
      </c>
      <c r="H32" s="160">
        <v>0</v>
      </c>
      <c r="I32" s="160">
        <v>0</v>
      </c>
      <c r="J32" s="160">
        <v>0</v>
      </c>
      <c r="K32" s="160">
        <v>0</v>
      </c>
      <c r="L32" s="160">
        <v>0</v>
      </c>
      <c r="M32" s="160">
        <v>0</v>
      </c>
      <c r="N32" s="160">
        <v>0</v>
      </c>
      <c r="O32" s="160">
        <v>0</v>
      </c>
      <c r="P32" s="160">
        <v>0</v>
      </c>
      <c r="Q32" s="160">
        <v>0</v>
      </c>
      <c r="R32" s="160">
        <v>0</v>
      </c>
      <c r="S32" s="160">
        <v>0</v>
      </c>
      <c r="T32" s="160">
        <v>0</v>
      </c>
      <c r="U32" s="160">
        <v>0</v>
      </c>
      <c r="V32" s="160">
        <v>0</v>
      </c>
      <c r="W32" s="160">
        <v>0</v>
      </c>
      <c r="X32" s="160">
        <v>0</v>
      </c>
      <c r="Y32" s="160">
        <v>0</v>
      </c>
      <c r="Z32" s="160">
        <v>0</v>
      </c>
      <c r="AA32" s="160">
        <v>0</v>
      </c>
      <c r="AB32" s="160">
        <v>0</v>
      </c>
      <c r="AC32" s="160">
        <v>0</v>
      </c>
      <c r="AD32" s="160">
        <v>0</v>
      </c>
      <c r="AE32" s="160">
        <v>0</v>
      </c>
      <c r="AF32" s="160">
        <v>0</v>
      </c>
      <c r="AG32" s="160">
        <v>0</v>
      </c>
      <c r="AH32" s="160">
        <v>0</v>
      </c>
      <c r="AI32" s="160">
        <v>0</v>
      </c>
      <c r="AJ32" s="160">
        <v>0</v>
      </c>
      <c r="AK32" s="160">
        <v>0</v>
      </c>
      <c r="AL32" s="160">
        <v>0</v>
      </c>
      <c r="AM32" s="160">
        <v>0</v>
      </c>
      <c r="AN32" s="160">
        <v>0</v>
      </c>
      <c r="AO32" s="160">
        <v>0</v>
      </c>
      <c r="AP32" s="160">
        <v>0</v>
      </c>
      <c r="AQ32" s="160">
        <v>0</v>
      </c>
      <c r="AR32" s="160">
        <v>0</v>
      </c>
      <c r="AS32" s="160">
        <v>0</v>
      </c>
      <c r="AT32" s="160">
        <v>0</v>
      </c>
      <c r="AU32" s="160">
        <v>0</v>
      </c>
      <c r="AV32" s="160">
        <v>0</v>
      </c>
      <c r="AW32" s="160">
        <v>0</v>
      </c>
      <c r="AX32" s="160">
        <v>0</v>
      </c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</row>
    <row r="33" spans="1:61" x14ac:dyDescent="0.3">
      <c r="A33" s="2" t="s">
        <v>173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>
        <v>0</v>
      </c>
      <c r="M33" s="160">
        <v>0</v>
      </c>
      <c r="N33" s="160">
        <v>0</v>
      </c>
      <c r="O33" s="160">
        <v>0</v>
      </c>
      <c r="P33" s="160">
        <v>0</v>
      </c>
      <c r="Q33" s="160">
        <v>0</v>
      </c>
      <c r="R33" s="160">
        <v>0</v>
      </c>
      <c r="S33" s="160">
        <v>0</v>
      </c>
      <c r="T33" s="160">
        <v>0</v>
      </c>
      <c r="U33" s="160">
        <v>0</v>
      </c>
      <c r="V33" s="160">
        <v>0</v>
      </c>
      <c r="W33" s="160">
        <v>0</v>
      </c>
      <c r="X33" s="160">
        <v>0</v>
      </c>
      <c r="Y33" s="160">
        <v>0</v>
      </c>
      <c r="Z33" s="160">
        <v>0</v>
      </c>
      <c r="AA33" s="160">
        <v>0</v>
      </c>
      <c r="AB33" s="160">
        <v>0</v>
      </c>
      <c r="AC33" s="160">
        <v>0</v>
      </c>
      <c r="AD33" s="160">
        <v>0</v>
      </c>
      <c r="AE33" s="160">
        <v>0</v>
      </c>
      <c r="AF33" s="160">
        <v>0</v>
      </c>
      <c r="AG33" s="160">
        <v>0</v>
      </c>
      <c r="AH33" s="160">
        <v>0</v>
      </c>
      <c r="AI33" s="160">
        <v>0</v>
      </c>
      <c r="AJ33" s="160">
        <v>0</v>
      </c>
      <c r="AK33" s="160">
        <v>0</v>
      </c>
      <c r="AL33" s="160">
        <v>0</v>
      </c>
      <c r="AM33" s="160">
        <v>0</v>
      </c>
      <c r="AN33" s="160">
        <v>0</v>
      </c>
      <c r="AO33" s="160">
        <v>0</v>
      </c>
      <c r="AP33" s="160">
        <v>0</v>
      </c>
      <c r="AQ33" s="160">
        <v>0</v>
      </c>
      <c r="AR33" s="160">
        <v>0</v>
      </c>
      <c r="AS33" s="160">
        <v>0</v>
      </c>
      <c r="AT33" s="160">
        <v>0</v>
      </c>
      <c r="AU33" s="160">
        <v>0</v>
      </c>
      <c r="AV33" s="160">
        <v>0</v>
      </c>
      <c r="AW33" s="160">
        <v>0</v>
      </c>
      <c r="AX33" s="160">
        <v>0</v>
      </c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</row>
    <row r="34" spans="1:61" x14ac:dyDescent="0.3">
      <c r="A34" s="2" t="s">
        <v>174</v>
      </c>
      <c r="B34" s="160">
        <v>0</v>
      </c>
      <c r="C34" s="160">
        <v>0</v>
      </c>
      <c r="D34" s="160">
        <v>0</v>
      </c>
      <c r="E34" s="160">
        <v>0</v>
      </c>
      <c r="F34" s="160">
        <v>0</v>
      </c>
      <c r="G34" s="160">
        <v>0</v>
      </c>
      <c r="H34" s="160">
        <v>0</v>
      </c>
      <c r="I34" s="160">
        <v>0</v>
      </c>
      <c r="J34" s="160">
        <v>0</v>
      </c>
      <c r="K34" s="160">
        <v>0</v>
      </c>
      <c r="L34" s="160">
        <v>0</v>
      </c>
      <c r="M34" s="160">
        <v>0</v>
      </c>
      <c r="N34" s="160">
        <v>0</v>
      </c>
      <c r="O34" s="160">
        <v>0</v>
      </c>
      <c r="P34" s="160">
        <v>0</v>
      </c>
      <c r="Q34" s="160">
        <v>0</v>
      </c>
      <c r="R34" s="160">
        <v>0</v>
      </c>
      <c r="S34" s="160">
        <v>0</v>
      </c>
      <c r="T34" s="160">
        <v>0</v>
      </c>
      <c r="U34" s="160">
        <v>0</v>
      </c>
      <c r="V34" s="160">
        <v>0</v>
      </c>
      <c r="W34" s="160">
        <v>0</v>
      </c>
      <c r="X34" s="160">
        <v>0</v>
      </c>
      <c r="Y34" s="160">
        <v>0</v>
      </c>
      <c r="Z34" s="160">
        <v>0</v>
      </c>
      <c r="AA34" s="160">
        <v>0</v>
      </c>
      <c r="AB34" s="160">
        <v>0</v>
      </c>
      <c r="AC34" s="160">
        <v>0</v>
      </c>
      <c r="AD34" s="160">
        <v>0</v>
      </c>
      <c r="AE34" s="160">
        <v>0</v>
      </c>
      <c r="AF34" s="160">
        <v>0</v>
      </c>
      <c r="AG34" s="160">
        <v>0</v>
      </c>
      <c r="AH34" s="160">
        <v>0</v>
      </c>
      <c r="AI34" s="160">
        <v>0</v>
      </c>
      <c r="AJ34" s="160">
        <v>0</v>
      </c>
      <c r="AK34" s="160">
        <v>0</v>
      </c>
      <c r="AL34" s="160">
        <v>0</v>
      </c>
      <c r="AM34" s="160">
        <v>0</v>
      </c>
      <c r="AN34" s="160">
        <v>0</v>
      </c>
      <c r="AO34" s="160">
        <v>0</v>
      </c>
      <c r="AP34" s="160">
        <v>0</v>
      </c>
      <c r="AQ34" s="160">
        <v>0</v>
      </c>
      <c r="AR34" s="160">
        <v>0</v>
      </c>
      <c r="AS34" s="160">
        <v>0</v>
      </c>
      <c r="AT34" s="160">
        <v>0</v>
      </c>
      <c r="AU34" s="160">
        <v>0</v>
      </c>
      <c r="AV34" s="160">
        <v>0</v>
      </c>
      <c r="AW34" s="160">
        <v>0</v>
      </c>
      <c r="AX34" s="160">
        <v>0</v>
      </c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</row>
    <row r="35" spans="1:61" x14ac:dyDescent="0.3">
      <c r="A35" s="163" t="s">
        <v>175</v>
      </c>
      <c r="B35" s="160">
        <v>17000</v>
      </c>
      <c r="C35" s="160">
        <v>17000</v>
      </c>
      <c r="D35" s="160">
        <v>17000</v>
      </c>
      <c r="E35" s="160">
        <v>17000</v>
      </c>
      <c r="F35" s="160">
        <v>17000</v>
      </c>
      <c r="G35" s="160">
        <v>17000</v>
      </c>
      <c r="H35" s="160">
        <v>17000</v>
      </c>
      <c r="I35" s="160">
        <v>17000</v>
      </c>
      <c r="J35" s="160">
        <v>17000</v>
      </c>
      <c r="K35" s="160">
        <v>17000</v>
      </c>
      <c r="L35" s="160">
        <v>17000</v>
      </c>
      <c r="M35" s="160">
        <v>17000</v>
      </c>
      <c r="N35" s="160">
        <v>17800</v>
      </c>
      <c r="O35" s="160">
        <v>17800</v>
      </c>
      <c r="P35" s="160">
        <v>17800</v>
      </c>
      <c r="Q35" s="160">
        <v>17800</v>
      </c>
      <c r="R35" s="160">
        <v>17800</v>
      </c>
      <c r="S35" s="160">
        <v>17800</v>
      </c>
      <c r="T35" s="160">
        <v>17800</v>
      </c>
      <c r="U35" s="160">
        <v>17800</v>
      </c>
      <c r="V35" s="160">
        <v>17800</v>
      </c>
      <c r="W35" s="160">
        <v>17800</v>
      </c>
      <c r="X35" s="160">
        <v>17800</v>
      </c>
      <c r="Y35" s="160">
        <v>17800</v>
      </c>
      <c r="Z35" s="160">
        <v>18600</v>
      </c>
      <c r="AA35" s="160">
        <v>18600</v>
      </c>
      <c r="AB35" s="160">
        <v>18600</v>
      </c>
      <c r="AC35" s="160">
        <v>18600</v>
      </c>
      <c r="AD35" s="160">
        <v>18600</v>
      </c>
      <c r="AE35" s="160">
        <v>18600</v>
      </c>
      <c r="AF35" s="160">
        <v>18600</v>
      </c>
      <c r="AG35" s="160">
        <v>18600</v>
      </c>
      <c r="AH35" s="160">
        <v>18600</v>
      </c>
      <c r="AI35" s="160">
        <v>18600</v>
      </c>
      <c r="AJ35" s="160">
        <v>18600</v>
      </c>
      <c r="AK35" s="160">
        <v>18600</v>
      </c>
      <c r="AL35" s="160">
        <v>19400</v>
      </c>
      <c r="AM35" s="160">
        <v>19400</v>
      </c>
      <c r="AN35" s="160">
        <v>19400</v>
      </c>
      <c r="AO35" s="160">
        <v>19400</v>
      </c>
      <c r="AP35" s="160">
        <v>19400</v>
      </c>
      <c r="AQ35" s="160">
        <v>19400</v>
      </c>
      <c r="AR35" s="160">
        <v>19400</v>
      </c>
      <c r="AS35" s="160">
        <v>19400</v>
      </c>
      <c r="AT35" s="160">
        <v>19400</v>
      </c>
      <c r="AU35" s="160">
        <v>19400</v>
      </c>
      <c r="AV35" s="160">
        <v>19400</v>
      </c>
      <c r="AW35" s="160">
        <v>19400</v>
      </c>
      <c r="AX35" s="160">
        <v>20200</v>
      </c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</row>
    <row r="36" spans="1:61" x14ac:dyDescent="0.3">
      <c r="A36" s="1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</row>
    <row r="37" spans="1:61" x14ac:dyDescent="0.3">
      <c r="A37" s="1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</row>
    <row r="38" spans="1:61" x14ac:dyDescent="0.3">
      <c r="A38" s="8" t="s">
        <v>176</v>
      </c>
      <c r="B38" s="9">
        <f t="shared" ref="B38:AG38" si="3">SUM(B28:B37)</f>
        <v>17000</v>
      </c>
      <c r="C38" s="9">
        <f t="shared" si="3"/>
        <v>17000</v>
      </c>
      <c r="D38" s="9">
        <f t="shared" si="3"/>
        <v>17000</v>
      </c>
      <c r="E38" s="9">
        <f t="shared" si="3"/>
        <v>17000</v>
      </c>
      <c r="F38" s="9">
        <f t="shared" si="3"/>
        <v>17000</v>
      </c>
      <c r="G38" s="9">
        <f t="shared" si="3"/>
        <v>17000</v>
      </c>
      <c r="H38" s="9">
        <f t="shared" si="3"/>
        <v>17000</v>
      </c>
      <c r="I38" s="9">
        <f t="shared" si="3"/>
        <v>17000</v>
      </c>
      <c r="J38" s="9">
        <f t="shared" si="3"/>
        <v>17000</v>
      </c>
      <c r="K38" s="9">
        <f t="shared" si="3"/>
        <v>17000</v>
      </c>
      <c r="L38" s="9">
        <f t="shared" si="3"/>
        <v>17000</v>
      </c>
      <c r="M38" s="9">
        <f t="shared" si="3"/>
        <v>17000</v>
      </c>
      <c r="N38" s="9">
        <f t="shared" si="3"/>
        <v>517800</v>
      </c>
      <c r="O38" s="9">
        <f t="shared" si="3"/>
        <v>517800</v>
      </c>
      <c r="P38" s="9">
        <f t="shared" si="3"/>
        <v>517800</v>
      </c>
      <c r="Q38" s="9">
        <f t="shared" si="3"/>
        <v>517800</v>
      </c>
      <c r="R38" s="9">
        <f t="shared" si="3"/>
        <v>517800</v>
      </c>
      <c r="S38" s="9">
        <f t="shared" si="3"/>
        <v>517800</v>
      </c>
      <c r="T38" s="9">
        <f t="shared" si="3"/>
        <v>517800</v>
      </c>
      <c r="U38" s="9">
        <f t="shared" si="3"/>
        <v>517800</v>
      </c>
      <c r="V38" s="9">
        <f t="shared" si="3"/>
        <v>517800</v>
      </c>
      <c r="W38" s="9">
        <f t="shared" si="3"/>
        <v>517800</v>
      </c>
      <c r="X38" s="9">
        <f t="shared" si="3"/>
        <v>517800</v>
      </c>
      <c r="Y38" s="9">
        <f t="shared" si="3"/>
        <v>517800</v>
      </c>
      <c r="Z38" s="9">
        <f t="shared" si="3"/>
        <v>618600</v>
      </c>
      <c r="AA38" s="9">
        <f t="shared" si="3"/>
        <v>618600</v>
      </c>
      <c r="AB38" s="9">
        <f t="shared" si="3"/>
        <v>618600</v>
      </c>
      <c r="AC38" s="9">
        <f t="shared" si="3"/>
        <v>618600</v>
      </c>
      <c r="AD38" s="9">
        <f t="shared" si="3"/>
        <v>618600</v>
      </c>
      <c r="AE38" s="9">
        <f t="shared" si="3"/>
        <v>618600</v>
      </c>
      <c r="AF38" s="9">
        <f t="shared" si="3"/>
        <v>618600</v>
      </c>
      <c r="AG38" s="9">
        <f t="shared" si="3"/>
        <v>618600</v>
      </c>
      <c r="AH38" s="9">
        <f t="shared" ref="AH38:BI38" si="4">SUM(AH28:AH37)</f>
        <v>618600</v>
      </c>
      <c r="AI38" s="9">
        <f t="shared" si="4"/>
        <v>618600</v>
      </c>
      <c r="AJ38" s="9">
        <f t="shared" si="4"/>
        <v>618600</v>
      </c>
      <c r="AK38" s="9">
        <f t="shared" si="4"/>
        <v>618600</v>
      </c>
      <c r="AL38" s="9">
        <f t="shared" si="4"/>
        <v>719400</v>
      </c>
      <c r="AM38" s="9">
        <f t="shared" si="4"/>
        <v>719400</v>
      </c>
      <c r="AN38" s="9">
        <f t="shared" si="4"/>
        <v>719400</v>
      </c>
      <c r="AO38" s="9">
        <f t="shared" si="4"/>
        <v>719400</v>
      </c>
      <c r="AP38" s="9">
        <f t="shared" si="4"/>
        <v>719400</v>
      </c>
      <c r="AQ38" s="9">
        <f t="shared" si="4"/>
        <v>719400</v>
      </c>
      <c r="AR38" s="9">
        <f t="shared" si="4"/>
        <v>719400</v>
      </c>
      <c r="AS38" s="9">
        <f t="shared" si="4"/>
        <v>719400</v>
      </c>
      <c r="AT38" s="9">
        <f t="shared" si="4"/>
        <v>719400</v>
      </c>
      <c r="AU38" s="9">
        <f t="shared" si="4"/>
        <v>719400</v>
      </c>
      <c r="AV38" s="9">
        <f t="shared" si="4"/>
        <v>719400</v>
      </c>
      <c r="AW38" s="9">
        <f t="shared" si="4"/>
        <v>719400</v>
      </c>
      <c r="AX38" s="9">
        <f t="shared" si="4"/>
        <v>820200</v>
      </c>
      <c r="AY38" s="9">
        <f t="shared" si="4"/>
        <v>0</v>
      </c>
      <c r="AZ38" s="9">
        <f t="shared" si="4"/>
        <v>0</v>
      </c>
      <c r="BA38" s="9">
        <f t="shared" si="4"/>
        <v>0</v>
      </c>
      <c r="BB38" s="9">
        <f t="shared" si="4"/>
        <v>0</v>
      </c>
      <c r="BC38" s="9">
        <f t="shared" si="4"/>
        <v>0</v>
      </c>
      <c r="BD38" s="9">
        <f t="shared" si="4"/>
        <v>0</v>
      </c>
      <c r="BE38" s="9">
        <f t="shared" si="4"/>
        <v>0</v>
      </c>
      <c r="BF38" s="9">
        <f t="shared" si="4"/>
        <v>0</v>
      </c>
      <c r="BG38" s="9">
        <f t="shared" si="4"/>
        <v>0</v>
      </c>
      <c r="BH38" s="9">
        <f t="shared" si="4"/>
        <v>0</v>
      </c>
      <c r="BI38" s="9">
        <f t="shared" si="4"/>
        <v>0</v>
      </c>
    </row>
    <row r="40" spans="1:61" x14ac:dyDescent="0.3">
      <c r="A40" s="120" t="s">
        <v>177</v>
      </c>
      <c r="B40" s="103">
        <f>Año1</f>
        <v>2027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>
        <f>Año2</f>
        <v>2028</v>
      </c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>
        <f>Año3</f>
        <v>2029</v>
      </c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>
        <f>Año4</f>
        <v>2030</v>
      </c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>
        <f>Año5</f>
        <v>2031</v>
      </c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</row>
    <row r="41" spans="1:61" x14ac:dyDescent="0.3">
      <c r="A41" s="120"/>
      <c r="B41" s="54" t="str">
        <f>B27</f>
        <v>Mes 1</v>
      </c>
      <c r="C41" s="54" t="str">
        <f t="shared" ref="C41:BI41" si="5">C27</f>
        <v>Mes 2</v>
      </c>
      <c r="D41" s="54" t="str">
        <f t="shared" si="5"/>
        <v>Mes 3</v>
      </c>
      <c r="E41" s="54" t="str">
        <f t="shared" si="5"/>
        <v>Mes 4</v>
      </c>
      <c r="F41" s="54" t="str">
        <f t="shared" si="5"/>
        <v>Mes 5</v>
      </c>
      <c r="G41" s="54" t="str">
        <f t="shared" si="5"/>
        <v>Mes 6</v>
      </c>
      <c r="H41" s="54" t="str">
        <f t="shared" si="5"/>
        <v>Mes 7</v>
      </c>
      <c r="I41" s="54" t="str">
        <f t="shared" si="5"/>
        <v>Mes 8</v>
      </c>
      <c r="J41" s="54" t="str">
        <f t="shared" si="5"/>
        <v>Mes 9</v>
      </c>
      <c r="K41" s="54" t="str">
        <f t="shared" si="5"/>
        <v>Mes 10</v>
      </c>
      <c r="L41" s="54" t="str">
        <f t="shared" si="5"/>
        <v>Mes 11</v>
      </c>
      <c r="M41" s="54" t="str">
        <f t="shared" si="5"/>
        <v>Mes 12</v>
      </c>
      <c r="N41" s="54" t="str">
        <f t="shared" si="5"/>
        <v>Mes 13</v>
      </c>
      <c r="O41" s="54" t="str">
        <f t="shared" si="5"/>
        <v>Mes 14</v>
      </c>
      <c r="P41" s="54" t="str">
        <f t="shared" si="5"/>
        <v>Mes 15</v>
      </c>
      <c r="Q41" s="54" t="str">
        <f t="shared" si="5"/>
        <v>Mes 16</v>
      </c>
      <c r="R41" s="54" t="str">
        <f t="shared" si="5"/>
        <v>Mes 17</v>
      </c>
      <c r="S41" s="54" t="str">
        <f t="shared" si="5"/>
        <v>Mes 18</v>
      </c>
      <c r="T41" s="54" t="str">
        <f t="shared" si="5"/>
        <v>Mes 19</v>
      </c>
      <c r="U41" s="54" t="str">
        <f t="shared" si="5"/>
        <v>Mes 20</v>
      </c>
      <c r="V41" s="54" t="str">
        <f t="shared" si="5"/>
        <v>Mes 21</v>
      </c>
      <c r="W41" s="54" t="str">
        <f t="shared" si="5"/>
        <v>Mes 22</v>
      </c>
      <c r="X41" s="54" t="str">
        <f t="shared" si="5"/>
        <v>Mes 23</v>
      </c>
      <c r="Y41" s="54" t="str">
        <f t="shared" si="5"/>
        <v>Mes 24</v>
      </c>
      <c r="Z41" s="54" t="str">
        <f t="shared" si="5"/>
        <v>Mes 25</v>
      </c>
      <c r="AA41" s="54" t="str">
        <f t="shared" si="5"/>
        <v>Mes 26</v>
      </c>
      <c r="AB41" s="54" t="str">
        <f t="shared" si="5"/>
        <v>Mes 27</v>
      </c>
      <c r="AC41" s="54" t="str">
        <f t="shared" si="5"/>
        <v>Mes 28</v>
      </c>
      <c r="AD41" s="54" t="str">
        <f t="shared" si="5"/>
        <v>Mes 29</v>
      </c>
      <c r="AE41" s="54" t="str">
        <f t="shared" si="5"/>
        <v>Mes 30</v>
      </c>
      <c r="AF41" s="54" t="str">
        <f t="shared" si="5"/>
        <v>Mes 31</v>
      </c>
      <c r="AG41" s="54" t="str">
        <f t="shared" si="5"/>
        <v>Mes 32</v>
      </c>
      <c r="AH41" s="54" t="str">
        <f t="shared" si="5"/>
        <v>Mes 33</v>
      </c>
      <c r="AI41" s="54" t="str">
        <f t="shared" si="5"/>
        <v>Mes 34</v>
      </c>
      <c r="AJ41" s="54" t="str">
        <f t="shared" si="5"/>
        <v>Mes 35</v>
      </c>
      <c r="AK41" s="54" t="str">
        <f t="shared" si="5"/>
        <v>Mes 36</v>
      </c>
      <c r="AL41" s="54" t="str">
        <f t="shared" si="5"/>
        <v>Mes 37</v>
      </c>
      <c r="AM41" s="54" t="str">
        <f t="shared" si="5"/>
        <v>Mes 38</v>
      </c>
      <c r="AN41" s="54" t="str">
        <f t="shared" si="5"/>
        <v>Mes 39</v>
      </c>
      <c r="AO41" s="54" t="str">
        <f t="shared" si="5"/>
        <v>Mes 40</v>
      </c>
      <c r="AP41" s="54" t="str">
        <f t="shared" si="5"/>
        <v>Mes 41</v>
      </c>
      <c r="AQ41" s="54" t="str">
        <f t="shared" si="5"/>
        <v>Mes 42</v>
      </c>
      <c r="AR41" s="54" t="str">
        <f t="shared" si="5"/>
        <v>Mes 43</v>
      </c>
      <c r="AS41" s="54" t="str">
        <f t="shared" si="5"/>
        <v>Mes 44</v>
      </c>
      <c r="AT41" s="54" t="str">
        <f t="shared" si="5"/>
        <v>Mes 45</v>
      </c>
      <c r="AU41" s="54" t="str">
        <f t="shared" si="5"/>
        <v>Mes 46</v>
      </c>
      <c r="AV41" s="54" t="str">
        <f t="shared" si="5"/>
        <v>Mes 47</v>
      </c>
      <c r="AW41" s="54" t="str">
        <f t="shared" si="5"/>
        <v>Mes 48</v>
      </c>
      <c r="AX41" s="54" t="str">
        <f t="shared" si="5"/>
        <v>Mes 49</v>
      </c>
      <c r="AY41" s="54" t="str">
        <f t="shared" si="5"/>
        <v>Mes 50</v>
      </c>
      <c r="AZ41" s="54" t="str">
        <f t="shared" si="5"/>
        <v>Mes 51</v>
      </c>
      <c r="BA41" s="54" t="str">
        <f t="shared" si="5"/>
        <v>Mes 52</v>
      </c>
      <c r="BB41" s="54" t="str">
        <f t="shared" si="5"/>
        <v>Mes 53</v>
      </c>
      <c r="BC41" s="54" t="str">
        <f t="shared" si="5"/>
        <v>Mes 54</v>
      </c>
      <c r="BD41" s="54" t="str">
        <f t="shared" si="5"/>
        <v>Mes 55</v>
      </c>
      <c r="BE41" s="54" t="str">
        <f t="shared" si="5"/>
        <v>Mes 56</v>
      </c>
      <c r="BF41" s="54" t="str">
        <f t="shared" si="5"/>
        <v>Mes 57</v>
      </c>
      <c r="BG41" s="54" t="str">
        <f t="shared" si="5"/>
        <v>Mes 58</v>
      </c>
      <c r="BH41" s="54" t="str">
        <f t="shared" si="5"/>
        <v>Mes 59</v>
      </c>
      <c r="BI41" s="54" t="str">
        <f t="shared" si="5"/>
        <v>Mes 60</v>
      </c>
    </row>
    <row r="42" spans="1:61" s="3" customFormat="1" x14ac:dyDescent="0.3">
      <c r="A42" s="10" t="s">
        <v>140</v>
      </c>
      <c r="B42" s="10" t="s">
        <v>141</v>
      </c>
      <c r="C42" s="10" t="s">
        <v>141</v>
      </c>
      <c r="D42" s="10" t="s">
        <v>141</v>
      </c>
      <c r="E42" s="10" t="s">
        <v>141</v>
      </c>
      <c r="F42" s="10" t="s">
        <v>141</v>
      </c>
      <c r="G42" s="10" t="s">
        <v>141</v>
      </c>
      <c r="H42" s="10" t="s">
        <v>141</v>
      </c>
      <c r="I42" s="10" t="s">
        <v>141</v>
      </c>
      <c r="J42" s="10" t="s">
        <v>141</v>
      </c>
      <c r="K42" s="10" t="s">
        <v>141</v>
      </c>
      <c r="L42" s="10" t="s">
        <v>141</v>
      </c>
      <c r="M42" s="10" t="s">
        <v>141</v>
      </c>
      <c r="N42" s="10" t="s">
        <v>141</v>
      </c>
      <c r="O42" s="10" t="s">
        <v>141</v>
      </c>
      <c r="P42" s="10" t="s">
        <v>141</v>
      </c>
      <c r="Q42" s="10" t="s">
        <v>141</v>
      </c>
      <c r="R42" s="10" t="s">
        <v>141</v>
      </c>
      <c r="S42" s="10" t="s">
        <v>141</v>
      </c>
      <c r="T42" s="10" t="s">
        <v>141</v>
      </c>
      <c r="U42" s="10" t="s">
        <v>141</v>
      </c>
      <c r="V42" s="10" t="s">
        <v>141</v>
      </c>
      <c r="W42" s="10" t="s">
        <v>141</v>
      </c>
      <c r="X42" s="10" t="s">
        <v>141</v>
      </c>
      <c r="Y42" s="10" t="s">
        <v>141</v>
      </c>
      <c r="Z42" s="10" t="s">
        <v>141</v>
      </c>
      <c r="AA42" s="10" t="s">
        <v>141</v>
      </c>
      <c r="AB42" s="10" t="s">
        <v>141</v>
      </c>
      <c r="AC42" s="10" t="s">
        <v>141</v>
      </c>
      <c r="AD42" s="10" t="s">
        <v>141</v>
      </c>
      <c r="AE42" s="10" t="s">
        <v>141</v>
      </c>
      <c r="AF42" s="10" t="s">
        <v>141</v>
      </c>
      <c r="AG42" s="10" t="s">
        <v>141</v>
      </c>
      <c r="AH42" s="10" t="s">
        <v>141</v>
      </c>
      <c r="AI42" s="10" t="s">
        <v>141</v>
      </c>
      <c r="AJ42" s="10" t="s">
        <v>141</v>
      </c>
      <c r="AK42" s="10" t="s">
        <v>141</v>
      </c>
      <c r="AL42" s="10" t="s">
        <v>141</v>
      </c>
      <c r="AM42" s="10" t="s">
        <v>141</v>
      </c>
      <c r="AN42" s="10" t="s">
        <v>141</v>
      </c>
      <c r="AO42" s="10" t="s">
        <v>141</v>
      </c>
      <c r="AP42" s="10" t="s">
        <v>141</v>
      </c>
      <c r="AQ42" s="10" t="s">
        <v>141</v>
      </c>
      <c r="AR42" s="10" t="s">
        <v>141</v>
      </c>
      <c r="AS42" s="10" t="s">
        <v>141</v>
      </c>
      <c r="AT42" s="10" t="s">
        <v>141</v>
      </c>
      <c r="AU42" s="10" t="s">
        <v>141</v>
      </c>
      <c r="AV42" s="10" t="s">
        <v>141</v>
      </c>
      <c r="AW42" s="10" t="s">
        <v>141</v>
      </c>
      <c r="AX42" s="10" t="s">
        <v>141</v>
      </c>
      <c r="AY42" s="10" t="s">
        <v>141</v>
      </c>
      <c r="AZ42" s="10" t="s">
        <v>141</v>
      </c>
      <c r="BA42" s="10" t="s">
        <v>141</v>
      </c>
      <c r="BB42" s="10" t="s">
        <v>141</v>
      </c>
      <c r="BC42" s="10" t="s">
        <v>141</v>
      </c>
      <c r="BD42" s="10" t="s">
        <v>141</v>
      </c>
      <c r="BE42" s="10" t="s">
        <v>141</v>
      </c>
      <c r="BF42" s="10" t="s">
        <v>141</v>
      </c>
      <c r="BG42" s="10" t="s">
        <v>141</v>
      </c>
      <c r="BH42" s="10" t="s">
        <v>141</v>
      </c>
      <c r="BI42" s="10" t="s">
        <v>141</v>
      </c>
    </row>
    <row r="43" spans="1:61" x14ac:dyDescent="0.3">
      <c r="A43" s="163" t="s">
        <v>305</v>
      </c>
      <c r="B43" s="160">
        <v>0</v>
      </c>
      <c r="C43" s="160">
        <v>0</v>
      </c>
      <c r="D43" s="160">
        <v>0</v>
      </c>
      <c r="E43" s="160">
        <v>0</v>
      </c>
      <c r="F43" s="160">
        <v>0</v>
      </c>
      <c r="G43" s="160">
        <v>0</v>
      </c>
      <c r="H43" s="160">
        <v>0</v>
      </c>
      <c r="I43" s="160">
        <v>0</v>
      </c>
      <c r="J43" s="160">
        <v>0</v>
      </c>
      <c r="K43" s="160">
        <v>0</v>
      </c>
      <c r="L43" s="160">
        <v>0</v>
      </c>
      <c r="M43" s="160">
        <v>0</v>
      </c>
      <c r="N43" s="160">
        <v>2500000</v>
      </c>
      <c r="O43" s="160">
        <v>2500000</v>
      </c>
      <c r="P43" s="160">
        <v>2500000</v>
      </c>
      <c r="Q43" s="160">
        <v>2500000</v>
      </c>
      <c r="R43" s="160">
        <v>2500000</v>
      </c>
      <c r="S43" s="160">
        <v>2500000</v>
      </c>
      <c r="T43" s="160">
        <v>2500000</v>
      </c>
      <c r="U43" s="160">
        <v>2500000</v>
      </c>
      <c r="V43" s="160">
        <v>2500000</v>
      </c>
      <c r="W43" s="160">
        <v>2500000</v>
      </c>
      <c r="X43" s="160">
        <v>2500000</v>
      </c>
      <c r="Y43" s="160">
        <v>2500000</v>
      </c>
      <c r="Z43" s="160">
        <v>2600000</v>
      </c>
      <c r="AA43" s="160">
        <v>2600000</v>
      </c>
      <c r="AB43" s="160">
        <v>2600000</v>
      </c>
      <c r="AC43" s="160">
        <v>2600000</v>
      </c>
      <c r="AD43" s="160">
        <v>2600000</v>
      </c>
      <c r="AE43" s="160">
        <v>2600000</v>
      </c>
      <c r="AF43" s="160">
        <v>2600000</v>
      </c>
      <c r="AG43" s="160">
        <v>2600000</v>
      </c>
      <c r="AH43" s="160">
        <v>2600000</v>
      </c>
      <c r="AI43" s="160">
        <v>2600000</v>
      </c>
      <c r="AJ43" s="160">
        <v>2600000</v>
      </c>
      <c r="AK43" s="160">
        <v>2600000</v>
      </c>
      <c r="AL43" s="160">
        <v>2700000</v>
      </c>
      <c r="AM43" s="160">
        <v>2700000</v>
      </c>
      <c r="AN43" s="160">
        <v>2700000</v>
      </c>
      <c r="AO43" s="160">
        <v>2700000</v>
      </c>
      <c r="AP43" s="160">
        <v>2700000</v>
      </c>
      <c r="AQ43" s="160">
        <v>2700000</v>
      </c>
      <c r="AR43" s="160">
        <v>2700000</v>
      </c>
      <c r="AS43" s="160">
        <v>2700000</v>
      </c>
      <c r="AT43" s="160">
        <v>2700000</v>
      </c>
      <c r="AU43" s="160">
        <v>2700000</v>
      </c>
      <c r="AV43" s="160">
        <v>2700000</v>
      </c>
      <c r="AW43" s="160">
        <v>2700000</v>
      </c>
      <c r="AX43" s="160">
        <v>2700000</v>
      </c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</row>
    <row r="44" spans="1:61" x14ac:dyDescent="0.3">
      <c r="A44" s="163" t="s">
        <v>306</v>
      </c>
      <c r="B44" s="160">
        <v>0</v>
      </c>
      <c r="C44" s="160">
        <v>0</v>
      </c>
      <c r="D44" s="160">
        <v>0</v>
      </c>
      <c r="E44" s="160">
        <v>0</v>
      </c>
      <c r="F44" s="160">
        <v>0</v>
      </c>
      <c r="G44" s="160">
        <v>0</v>
      </c>
      <c r="H44" s="160">
        <v>0</v>
      </c>
      <c r="I44" s="160">
        <v>0</v>
      </c>
      <c r="J44" s="160">
        <v>0</v>
      </c>
      <c r="K44" s="160">
        <v>0</v>
      </c>
      <c r="L44" s="160">
        <v>0</v>
      </c>
      <c r="M44" s="160">
        <v>0</v>
      </c>
      <c r="N44" s="160">
        <v>0</v>
      </c>
      <c r="O44" s="160">
        <v>0</v>
      </c>
      <c r="P44" s="160">
        <v>0</v>
      </c>
      <c r="Q44" s="160">
        <v>0</v>
      </c>
      <c r="R44" s="160">
        <v>0</v>
      </c>
      <c r="S44" s="160">
        <v>0</v>
      </c>
      <c r="T44" s="160">
        <v>0</v>
      </c>
      <c r="U44" s="160">
        <v>0</v>
      </c>
      <c r="V44" s="160">
        <v>0</v>
      </c>
      <c r="W44" s="160">
        <v>0</v>
      </c>
      <c r="X44" s="160">
        <v>0</v>
      </c>
      <c r="Y44" s="160">
        <v>0</v>
      </c>
      <c r="Z44" s="160">
        <v>2200000</v>
      </c>
      <c r="AA44" s="160">
        <v>2200000</v>
      </c>
      <c r="AB44" s="160">
        <v>2200000</v>
      </c>
      <c r="AC44" s="160">
        <v>2200000</v>
      </c>
      <c r="AD44" s="160">
        <v>2200000</v>
      </c>
      <c r="AE44" s="160">
        <v>2200000</v>
      </c>
      <c r="AF44" s="160">
        <v>2200000</v>
      </c>
      <c r="AG44" s="160">
        <v>2200000</v>
      </c>
      <c r="AH44" s="160">
        <v>2200000</v>
      </c>
      <c r="AI44" s="160">
        <v>2200000</v>
      </c>
      <c r="AJ44" s="160">
        <v>2200000</v>
      </c>
      <c r="AK44" s="160">
        <v>2200000</v>
      </c>
      <c r="AL44" s="160">
        <v>2300000</v>
      </c>
      <c r="AM44" s="160">
        <v>2300000</v>
      </c>
      <c r="AN44" s="160">
        <v>2300000</v>
      </c>
      <c r="AO44" s="160">
        <v>2300000</v>
      </c>
      <c r="AP44" s="160">
        <v>2300000</v>
      </c>
      <c r="AQ44" s="160">
        <v>2300000</v>
      </c>
      <c r="AR44" s="160">
        <v>2300000</v>
      </c>
      <c r="AS44" s="160">
        <v>2300000</v>
      </c>
      <c r="AT44" s="160">
        <v>2300000</v>
      </c>
      <c r="AU44" s="160">
        <v>2300000</v>
      </c>
      <c r="AV44" s="160">
        <v>2300000</v>
      </c>
      <c r="AW44" s="160">
        <v>2300000</v>
      </c>
      <c r="AX44" s="160">
        <v>2300000</v>
      </c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</row>
    <row r="45" spans="1:61" x14ac:dyDescent="0.3">
      <c r="A45" s="1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</row>
    <row r="46" spans="1:61" x14ac:dyDescent="0.3">
      <c r="A46" s="1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</row>
    <row r="47" spans="1:61" x14ac:dyDescent="0.3">
      <c r="A47" s="1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</row>
    <row r="48" spans="1:61" x14ac:dyDescent="0.3">
      <c r="A48" s="1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</row>
    <row r="49" spans="1:61" x14ac:dyDescent="0.3">
      <c r="A49" s="1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</row>
    <row r="50" spans="1:61" x14ac:dyDescent="0.3">
      <c r="A50" s="1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</row>
    <row r="51" spans="1:61" x14ac:dyDescent="0.3">
      <c r="A51" s="18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</row>
    <row r="52" spans="1:61" x14ac:dyDescent="0.3">
      <c r="A52" s="1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</row>
    <row r="53" spans="1:61" x14ac:dyDescent="0.3">
      <c r="A53" s="18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</row>
    <row r="54" spans="1:61" x14ac:dyDescent="0.3">
      <c r="A54" s="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</row>
    <row r="55" spans="1:61" x14ac:dyDescent="0.3">
      <c r="A55" s="1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</row>
    <row r="56" spans="1:61" x14ac:dyDescent="0.3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</row>
    <row r="57" spans="1:61" x14ac:dyDescent="0.3">
      <c r="A57" s="1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</row>
    <row r="58" spans="1:61" x14ac:dyDescent="0.3">
      <c r="A58" s="1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 spans="1:61" x14ac:dyDescent="0.3">
      <c r="A59" s="8" t="s">
        <v>178</v>
      </c>
      <c r="B59" s="9">
        <f>SUM(B43:B58)</f>
        <v>0</v>
      </c>
      <c r="C59" s="9">
        <f t="shared" ref="C59:BI59" si="6">SUM(C43:C58)</f>
        <v>0</v>
      </c>
      <c r="D59" s="9">
        <f t="shared" si="6"/>
        <v>0</v>
      </c>
      <c r="E59" s="9">
        <f t="shared" si="6"/>
        <v>0</v>
      </c>
      <c r="F59" s="9">
        <f t="shared" si="6"/>
        <v>0</v>
      </c>
      <c r="G59" s="9">
        <f t="shared" si="6"/>
        <v>0</v>
      </c>
      <c r="H59" s="9">
        <f t="shared" si="6"/>
        <v>0</v>
      </c>
      <c r="I59" s="9">
        <f t="shared" si="6"/>
        <v>0</v>
      </c>
      <c r="J59" s="9">
        <f t="shared" si="6"/>
        <v>0</v>
      </c>
      <c r="K59" s="9">
        <f t="shared" si="6"/>
        <v>0</v>
      </c>
      <c r="L59" s="9">
        <f t="shared" si="6"/>
        <v>0</v>
      </c>
      <c r="M59" s="9">
        <f t="shared" si="6"/>
        <v>0</v>
      </c>
      <c r="N59" s="9">
        <f t="shared" si="6"/>
        <v>2500000</v>
      </c>
      <c r="O59" s="9">
        <f t="shared" si="6"/>
        <v>2500000</v>
      </c>
      <c r="P59" s="9">
        <f t="shared" si="6"/>
        <v>2500000</v>
      </c>
      <c r="Q59" s="9">
        <f t="shared" si="6"/>
        <v>2500000</v>
      </c>
      <c r="R59" s="9">
        <f t="shared" si="6"/>
        <v>2500000</v>
      </c>
      <c r="S59" s="9">
        <f t="shared" si="6"/>
        <v>2500000</v>
      </c>
      <c r="T59" s="9">
        <f t="shared" si="6"/>
        <v>2500000</v>
      </c>
      <c r="U59" s="9">
        <f t="shared" si="6"/>
        <v>2500000</v>
      </c>
      <c r="V59" s="9">
        <f t="shared" si="6"/>
        <v>2500000</v>
      </c>
      <c r="W59" s="9">
        <f t="shared" si="6"/>
        <v>2500000</v>
      </c>
      <c r="X59" s="9">
        <f t="shared" si="6"/>
        <v>2500000</v>
      </c>
      <c r="Y59" s="9">
        <f t="shared" si="6"/>
        <v>2500000</v>
      </c>
      <c r="Z59" s="9">
        <f t="shared" si="6"/>
        <v>4800000</v>
      </c>
      <c r="AA59" s="9">
        <f t="shared" si="6"/>
        <v>4800000</v>
      </c>
      <c r="AB59" s="9">
        <f t="shared" si="6"/>
        <v>4800000</v>
      </c>
      <c r="AC59" s="9">
        <f t="shared" si="6"/>
        <v>4800000</v>
      </c>
      <c r="AD59" s="9">
        <f t="shared" si="6"/>
        <v>4800000</v>
      </c>
      <c r="AE59" s="9">
        <f t="shared" si="6"/>
        <v>4800000</v>
      </c>
      <c r="AF59" s="9">
        <f t="shared" si="6"/>
        <v>4800000</v>
      </c>
      <c r="AG59" s="9">
        <f t="shared" si="6"/>
        <v>4800000</v>
      </c>
      <c r="AH59" s="9">
        <f t="shared" si="6"/>
        <v>4800000</v>
      </c>
      <c r="AI59" s="9">
        <f t="shared" si="6"/>
        <v>4800000</v>
      </c>
      <c r="AJ59" s="9">
        <f t="shared" si="6"/>
        <v>4800000</v>
      </c>
      <c r="AK59" s="9">
        <f t="shared" si="6"/>
        <v>4800000</v>
      </c>
      <c r="AL59" s="9">
        <f t="shared" si="6"/>
        <v>5000000</v>
      </c>
      <c r="AM59" s="9">
        <f t="shared" si="6"/>
        <v>5000000</v>
      </c>
      <c r="AN59" s="9">
        <f t="shared" si="6"/>
        <v>5000000</v>
      </c>
      <c r="AO59" s="9">
        <f t="shared" si="6"/>
        <v>5000000</v>
      </c>
      <c r="AP59" s="9">
        <f t="shared" si="6"/>
        <v>5000000</v>
      </c>
      <c r="AQ59" s="9">
        <f t="shared" si="6"/>
        <v>5000000</v>
      </c>
      <c r="AR59" s="9">
        <f t="shared" si="6"/>
        <v>5000000</v>
      </c>
      <c r="AS59" s="9">
        <f t="shared" si="6"/>
        <v>5000000</v>
      </c>
      <c r="AT59" s="9">
        <f t="shared" si="6"/>
        <v>5000000</v>
      </c>
      <c r="AU59" s="9">
        <f t="shared" si="6"/>
        <v>5000000</v>
      </c>
      <c r="AV59" s="9">
        <f t="shared" si="6"/>
        <v>5000000</v>
      </c>
      <c r="AW59" s="9">
        <f t="shared" si="6"/>
        <v>5000000</v>
      </c>
      <c r="AX59" s="9">
        <f t="shared" si="6"/>
        <v>5000000</v>
      </c>
      <c r="AY59" s="9">
        <f t="shared" si="6"/>
        <v>0</v>
      </c>
      <c r="AZ59" s="9">
        <f t="shared" si="6"/>
        <v>0</v>
      </c>
      <c r="BA59" s="9">
        <f t="shared" si="6"/>
        <v>0</v>
      </c>
      <c r="BB59" s="9">
        <f t="shared" si="6"/>
        <v>0</v>
      </c>
      <c r="BC59" s="9">
        <f t="shared" si="6"/>
        <v>0</v>
      </c>
      <c r="BD59" s="9">
        <f t="shared" si="6"/>
        <v>0</v>
      </c>
      <c r="BE59" s="9">
        <f t="shared" si="6"/>
        <v>0</v>
      </c>
      <c r="BF59" s="9">
        <f t="shared" si="6"/>
        <v>0</v>
      </c>
      <c r="BG59" s="9">
        <f t="shared" si="6"/>
        <v>0</v>
      </c>
      <c r="BH59" s="9">
        <f t="shared" si="6"/>
        <v>0</v>
      </c>
      <c r="BI59" s="9">
        <f t="shared" si="6"/>
        <v>0</v>
      </c>
    </row>
    <row r="60" spans="1:61" x14ac:dyDescent="0.3">
      <c r="A60" s="2" t="s">
        <v>144</v>
      </c>
      <c r="B60" s="37">
        <f>IF(B43=0,0,IF(B43&lt;INICIO!$B$32*2,INICIO!$B$33,0))+IF(B44=0,0,IF(B44&lt;INICIO!$B$32*2,INICIO!$B$33,0))+IF(B45=0,0,IF(B45&lt;INICIO!$B$32*2,INICIO!$B$33,0))+IF(B46=0,0,IF(B46&lt;INICIO!$B$32*2,INICIO!$B$33,0))+IF(B47=0,0,IF(B47&lt;INICIO!$B$32*2,INICIO!$B$33,0))+IF(B48=0,0,IF(B48&lt;INICIO!$B$32*2,INICIO!$B$33,0))+IF(B49=0,0,IF(B49&lt;INICIO!$B$32*2,INICIO!$B$33,0))+IF(B50=0,0,IF(B50&lt;INICIO!$B$32*2,INICIO!$B$33,0))+IF(B51=0,0,IF(B51&lt;INICIO!$B$32*2,INICIO!$B$33,0))+IF(B52=0,0,IF(B52&lt;INICIO!$B$32*2,INICIO!$B$33,0))+IF(B53=0,0,IF(B53&lt;INICIO!$B$32*2,INICIO!$B$33,0))+IF(B54=0,0,IF(B54&lt;INICIO!$B$32*2,INICIO!$B$33,0))+IF(B55=0,0,IF(B55&lt;INICIO!$B$32*2,INICIO!$B$33,0))+IF(B56=0,0,IF(B56&lt;INICIO!$B$32*2,INICIO!$B$33,0))+IF(B57=0,0,IF(B57&lt;INICIO!$B$32*2,INICIO!$B$33,0))+IF(B58=0,0,IF(B58&lt;INICIO!$B$32*2,INICIO!$B$33,0))</f>
        <v>0</v>
      </c>
      <c r="C60" s="37">
        <f>IF(C43=0,0,IF(C43&lt;INICIO!$B$32*2,INICIO!$B$33,0))+IF(C44=0,0,IF(C44&lt;INICIO!$B$32*2,INICIO!$B$33,0))+IF(C45=0,0,IF(C45&lt;INICIO!$B$32*2,INICIO!$B$33,0))+IF(C46=0,0,IF(C46&lt;INICIO!$B$32*2,INICIO!$B$33,0))+IF(C47=0,0,IF(C47&lt;INICIO!$B$32*2,INICIO!$B$33,0))+IF(C48=0,0,IF(C48&lt;INICIO!$B$32*2,INICIO!$B$33,0))+IF(C49=0,0,IF(C49&lt;INICIO!$B$32*2,INICIO!$B$33,0))+IF(C50=0,0,IF(C50&lt;INICIO!$B$32*2,INICIO!$B$33,0))+IF(C51=0,0,IF(C51&lt;INICIO!$B$32*2,INICIO!$B$33,0))+IF(C52=0,0,IF(C52&lt;INICIO!$B$32*2,INICIO!$B$33,0))+IF(C53=0,0,IF(C53&lt;INICIO!$B$32*2,INICIO!$B$33,0))+IF(C54=0,0,IF(C54&lt;INICIO!$B$32*2,INICIO!$B$33,0))+IF(C55=0,0,IF(C55&lt;INICIO!$B$32*2,INICIO!$B$33,0))+IF(C56=0,0,IF(C56&lt;INICIO!$B$32*2,INICIO!$B$33,0))+IF(C57=0,0,IF(C57&lt;INICIO!$B$32*2,INICIO!$B$33,0))+IF(C58=0,0,IF(C58&lt;INICIO!$B$32*2,INICIO!$B$33,0))</f>
        <v>0</v>
      </c>
      <c r="D60" s="37">
        <f>IF(D43=0,0,IF(D43&lt;INICIO!$B$32*2,INICIO!$B$33,0))+IF(D44=0,0,IF(D44&lt;INICIO!$B$32*2,INICIO!$B$33,0))+IF(D45=0,0,IF(D45&lt;INICIO!$B$32*2,INICIO!$B$33,0))+IF(D46=0,0,IF(D46&lt;INICIO!$B$32*2,INICIO!$B$33,0))+IF(D47=0,0,IF(D47&lt;INICIO!$B$32*2,INICIO!$B$33,0))+IF(D48=0,0,IF(D48&lt;INICIO!$B$32*2,INICIO!$B$33,0))+IF(D49=0,0,IF(D49&lt;INICIO!$B$32*2,INICIO!$B$33,0))+IF(D50=0,0,IF(D50&lt;INICIO!$B$32*2,INICIO!$B$33,0))+IF(D51=0,0,IF(D51&lt;INICIO!$B$32*2,INICIO!$B$33,0))+IF(D52=0,0,IF(D52&lt;INICIO!$B$32*2,INICIO!$B$33,0))+IF(D53=0,0,IF(D53&lt;INICIO!$B$32*2,INICIO!$B$33,0))+IF(D54=0,0,IF(D54&lt;INICIO!$B$32*2,INICIO!$B$33,0))+IF(D55=0,0,IF(D55&lt;INICIO!$B$32*2,INICIO!$B$33,0))+IF(D56=0,0,IF(D56&lt;INICIO!$B$32*2,INICIO!$B$33,0))+IF(D57=0,0,IF(D57&lt;INICIO!$B$32*2,INICIO!$B$33,0))+IF(D58=0,0,IF(D58&lt;INICIO!$B$32*2,INICIO!$B$33,0))</f>
        <v>0</v>
      </c>
      <c r="E60" s="37">
        <f>IF(E43=0,0,IF(E43&lt;INICIO!$B$32*2,INICIO!$B$33,0))+IF(E44=0,0,IF(E44&lt;INICIO!$B$32*2,INICIO!$B$33,0))+IF(E45=0,0,IF(E45&lt;INICIO!$B$32*2,INICIO!$B$33,0))+IF(E46=0,0,IF(E46&lt;INICIO!$B$32*2,INICIO!$B$33,0))+IF(E47=0,0,IF(E47&lt;INICIO!$B$32*2,INICIO!$B$33,0))+IF(E48=0,0,IF(E48&lt;INICIO!$B$32*2,INICIO!$B$33,0))+IF(E49=0,0,IF(E49&lt;INICIO!$B$32*2,INICIO!$B$33,0))+IF(E50=0,0,IF(E50&lt;INICIO!$B$32*2,INICIO!$B$33,0))+IF(E51=0,0,IF(E51&lt;INICIO!$B$32*2,INICIO!$B$33,0))+IF(E52=0,0,IF(E52&lt;INICIO!$B$32*2,INICIO!$B$33,0))+IF(E53=0,0,IF(E53&lt;INICIO!$B$32*2,INICIO!$B$33,0))+IF(E54=0,0,IF(E54&lt;INICIO!$B$32*2,INICIO!$B$33,0))+IF(E55=0,0,IF(E55&lt;INICIO!$B$32*2,INICIO!$B$33,0))+IF(E56=0,0,IF(E56&lt;INICIO!$B$32*2,INICIO!$B$33,0))+IF(E57=0,0,IF(E57&lt;INICIO!$B$32*2,INICIO!$B$33,0))+IF(E58=0,0,IF(E58&lt;INICIO!$B$32*2,INICIO!$B$33,0))</f>
        <v>0</v>
      </c>
      <c r="F60" s="37">
        <f>IF(F43=0,0,IF(F43&lt;INICIO!$B$32*2,INICIO!$B$33,0))+IF(F44=0,0,IF(F44&lt;INICIO!$B$32*2,INICIO!$B$33,0))+IF(F45=0,0,IF(F45&lt;INICIO!$B$32*2,INICIO!$B$33,0))+IF(F46=0,0,IF(F46&lt;INICIO!$B$32*2,INICIO!$B$33,0))+IF(F47=0,0,IF(F47&lt;INICIO!$B$32*2,INICIO!$B$33,0))+IF(F48=0,0,IF(F48&lt;INICIO!$B$32*2,INICIO!$B$33,0))+IF(F49=0,0,IF(F49&lt;INICIO!$B$32*2,INICIO!$B$33,0))+IF(F50=0,0,IF(F50&lt;INICIO!$B$32*2,INICIO!$B$33,0))+IF(F51=0,0,IF(F51&lt;INICIO!$B$32*2,INICIO!$B$33,0))+IF(F52=0,0,IF(F52&lt;INICIO!$B$32*2,INICIO!$B$33,0))+IF(F53=0,0,IF(F53&lt;INICIO!$B$32*2,INICIO!$B$33,0))+IF(F54=0,0,IF(F54&lt;INICIO!$B$32*2,INICIO!$B$33,0))+IF(F55=0,0,IF(F55&lt;INICIO!$B$32*2,INICIO!$B$33,0))+IF(F56=0,0,IF(F56&lt;INICIO!$B$32*2,INICIO!$B$33,0))+IF(F57=0,0,IF(F57&lt;INICIO!$B$32*2,INICIO!$B$33,0))+IF(F58=0,0,IF(F58&lt;INICIO!$B$32*2,INICIO!$B$33,0))</f>
        <v>0</v>
      </c>
      <c r="G60" s="37">
        <f>IF(G43=0,0,IF(G43&lt;INICIO!$B$32*2,INICIO!$B$33,0))+IF(G44=0,0,IF(G44&lt;INICIO!$B$32*2,INICIO!$B$33,0))+IF(G45=0,0,IF(G45&lt;INICIO!$B$32*2,INICIO!$B$33,0))+IF(G46=0,0,IF(G46&lt;INICIO!$B$32*2,INICIO!$B$33,0))+IF(G47=0,0,IF(G47&lt;INICIO!$B$32*2,INICIO!$B$33,0))+IF(G48=0,0,IF(G48&lt;INICIO!$B$32*2,INICIO!$B$33,0))+IF(G49=0,0,IF(G49&lt;INICIO!$B$32*2,INICIO!$B$33,0))+IF(G50=0,0,IF(G50&lt;INICIO!$B$32*2,INICIO!$B$33,0))+IF(G51=0,0,IF(G51&lt;INICIO!$B$32*2,INICIO!$B$33,0))+IF(G52=0,0,IF(G52&lt;INICIO!$B$32*2,INICIO!$B$33,0))+IF(G53=0,0,IF(G53&lt;INICIO!$B$32*2,INICIO!$B$33,0))+IF(G54=0,0,IF(G54&lt;INICIO!$B$32*2,INICIO!$B$33,0))+IF(G55=0,0,IF(G55&lt;INICIO!$B$32*2,INICIO!$B$33,0))+IF(G56=0,0,IF(G56&lt;INICIO!$B$32*2,INICIO!$B$33,0))+IF(G57=0,0,IF(G57&lt;INICIO!$B$32*2,INICIO!$B$33,0))+IF(G58=0,0,IF(G58&lt;INICIO!$B$32*2,INICIO!$B$33,0))</f>
        <v>0</v>
      </c>
      <c r="H60" s="37">
        <f>IF(H43=0,0,IF(H43&lt;INICIO!$B$32*2,INICIO!$B$33,0))+IF(H44=0,0,IF(H44&lt;INICIO!$B$32*2,INICIO!$B$33,0))+IF(H45=0,0,IF(H45&lt;INICIO!$B$32*2,INICIO!$B$33,0))+IF(H46=0,0,IF(H46&lt;INICIO!$B$32*2,INICIO!$B$33,0))+IF(H47=0,0,IF(H47&lt;INICIO!$B$32*2,INICIO!$B$33,0))+IF(H48=0,0,IF(H48&lt;INICIO!$B$32*2,INICIO!$B$33,0))+IF(H49=0,0,IF(H49&lt;INICIO!$B$32*2,INICIO!$B$33,0))+IF(H50=0,0,IF(H50&lt;INICIO!$B$32*2,INICIO!$B$33,0))+IF(H51=0,0,IF(H51&lt;INICIO!$B$32*2,INICIO!$B$33,0))+IF(H52=0,0,IF(H52&lt;INICIO!$B$32*2,INICIO!$B$33,0))+IF(H53=0,0,IF(H53&lt;INICIO!$B$32*2,INICIO!$B$33,0))+IF(H54=0,0,IF(H54&lt;INICIO!$B$32*2,INICIO!$B$33,0))+IF(H55=0,0,IF(H55&lt;INICIO!$B$32*2,INICIO!$B$33,0))+IF(H56=0,0,IF(H56&lt;INICIO!$B$32*2,INICIO!$B$33,0))+IF(H57=0,0,IF(H57&lt;INICIO!$B$32*2,INICIO!$B$33,0))+IF(H58=0,0,IF(H58&lt;INICIO!$B$32*2,INICIO!$B$33,0))</f>
        <v>0</v>
      </c>
      <c r="I60" s="37">
        <f>IF(I43=0,0,IF(I43&lt;INICIO!$B$32*2,INICIO!$B$33,0))+IF(I44=0,0,IF(I44&lt;INICIO!$B$32*2,INICIO!$B$33,0))+IF(I45=0,0,IF(I45&lt;INICIO!$B$32*2,INICIO!$B$33,0))+IF(I46=0,0,IF(I46&lt;INICIO!$B$32*2,INICIO!$B$33,0))+IF(I47=0,0,IF(I47&lt;INICIO!$B$32*2,INICIO!$B$33,0))+IF(I48=0,0,IF(I48&lt;INICIO!$B$32*2,INICIO!$B$33,0))+IF(I49=0,0,IF(I49&lt;INICIO!$B$32*2,INICIO!$B$33,0))+IF(I50=0,0,IF(I50&lt;INICIO!$B$32*2,INICIO!$B$33,0))+IF(I51=0,0,IF(I51&lt;INICIO!$B$32*2,INICIO!$B$33,0))+IF(I52=0,0,IF(I52&lt;INICIO!$B$32*2,INICIO!$B$33,0))+IF(I53=0,0,IF(I53&lt;INICIO!$B$32*2,INICIO!$B$33,0))+IF(I54=0,0,IF(I54&lt;INICIO!$B$32*2,INICIO!$B$33,0))+IF(I55=0,0,IF(I55&lt;INICIO!$B$32*2,INICIO!$B$33,0))+IF(I56=0,0,IF(I56&lt;INICIO!$B$32*2,INICIO!$B$33,0))+IF(I57=0,0,IF(I57&lt;INICIO!$B$32*2,INICIO!$B$33,0))+IF(I58=0,0,IF(I58&lt;INICIO!$B$32*2,INICIO!$B$33,0))</f>
        <v>0</v>
      </c>
      <c r="J60" s="37">
        <f>IF(J43=0,0,IF(J43&lt;INICIO!$B$32*2,INICIO!$B$33,0))+IF(J44=0,0,IF(J44&lt;INICIO!$B$32*2,INICIO!$B$33,0))+IF(J45=0,0,IF(J45&lt;INICIO!$B$32*2,INICIO!$B$33,0))+IF(J46=0,0,IF(J46&lt;INICIO!$B$32*2,INICIO!$B$33,0))+IF(J47=0,0,IF(J47&lt;INICIO!$B$32*2,INICIO!$B$33,0))+IF(J48=0,0,IF(J48&lt;INICIO!$B$32*2,INICIO!$B$33,0))+IF(J49=0,0,IF(J49&lt;INICIO!$B$32*2,INICIO!$B$33,0))+IF(J50=0,0,IF(J50&lt;INICIO!$B$32*2,INICIO!$B$33,0))+IF(J51=0,0,IF(J51&lt;INICIO!$B$32*2,INICIO!$B$33,0))+IF(J52=0,0,IF(J52&lt;INICIO!$B$32*2,INICIO!$B$33,0))+IF(J53=0,0,IF(J53&lt;INICIO!$B$32*2,INICIO!$B$33,0))+IF(J54=0,0,IF(J54&lt;INICIO!$B$32*2,INICIO!$B$33,0))+IF(J55=0,0,IF(J55&lt;INICIO!$B$32*2,INICIO!$B$33,0))+IF(J56=0,0,IF(J56&lt;INICIO!$B$32*2,INICIO!$B$33,0))+IF(J57=0,0,IF(J57&lt;INICIO!$B$32*2,INICIO!$B$33,0))+IF(J58=0,0,IF(J58&lt;INICIO!$B$32*2,INICIO!$B$33,0))</f>
        <v>0</v>
      </c>
      <c r="K60" s="37">
        <f>IF(K43=0,0,IF(K43&lt;INICIO!$B$32*2,INICIO!$B$33,0))+IF(K44=0,0,IF(K44&lt;INICIO!$B$32*2,INICIO!$B$33,0))+IF(K45=0,0,IF(K45&lt;INICIO!$B$32*2,INICIO!$B$33,0))+IF(K46=0,0,IF(K46&lt;INICIO!$B$32*2,INICIO!$B$33,0))+IF(K47=0,0,IF(K47&lt;INICIO!$B$32*2,INICIO!$B$33,0))+IF(K48=0,0,IF(K48&lt;INICIO!$B$32*2,INICIO!$B$33,0))+IF(K49=0,0,IF(K49&lt;INICIO!$B$32*2,INICIO!$B$33,0))+IF(K50=0,0,IF(K50&lt;INICIO!$B$32*2,INICIO!$B$33,0))+IF(K51=0,0,IF(K51&lt;INICIO!$B$32*2,INICIO!$B$33,0))+IF(K52=0,0,IF(K52&lt;INICIO!$B$32*2,INICIO!$B$33,0))+IF(K53=0,0,IF(K53&lt;INICIO!$B$32*2,INICIO!$B$33,0))+IF(K54=0,0,IF(K54&lt;INICIO!$B$32*2,INICIO!$B$33,0))+IF(K55=0,0,IF(K55&lt;INICIO!$B$32*2,INICIO!$B$33,0))+IF(K56=0,0,IF(K56&lt;INICIO!$B$32*2,INICIO!$B$33,0))+IF(K57=0,0,IF(K57&lt;INICIO!$B$32*2,INICIO!$B$33,0))+IF(K58=0,0,IF(K58&lt;INICIO!$B$32*2,INICIO!$B$33,0))</f>
        <v>0</v>
      </c>
      <c r="L60" s="37">
        <f>IF(L43=0,0,IF(L43&lt;INICIO!$B$32*2,INICIO!$B$33,0))+IF(L44=0,0,IF(L44&lt;INICIO!$B$32*2,INICIO!$B$33,0))+IF(L45=0,0,IF(L45&lt;INICIO!$B$32*2,INICIO!$B$33,0))+IF(L46=0,0,IF(L46&lt;INICIO!$B$32*2,INICIO!$B$33,0))+IF(L47=0,0,IF(L47&lt;INICIO!$B$32*2,INICIO!$B$33,0))+IF(L48=0,0,IF(L48&lt;INICIO!$B$32*2,INICIO!$B$33,0))+IF(L49=0,0,IF(L49&lt;INICIO!$B$32*2,INICIO!$B$33,0))+IF(L50=0,0,IF(L50&lt;INICIO!$B$32*2,INICIO!$B$33,0))+IF(L51=0,0,IF(L51&lt;INICIO!$B$32*2,INICIO!$B$33,0))+IF(L52=0,0,IF(L52&lt;INICIO!$B$32*2,INICIO!$B$33,0))+IF(L53=0,0,IF(L53&lt;INICIO!$B$32*2,INICIO!$B$33,0))+IF(L54=0,0,IF(L54&lt;INICIO!$B$32*2,INICIO!$B$33,0))+IF(L55=0,0,IF(L55&lt;INICIO!$B$32*2,INICIO!$B$33,0))+IF(L56=0,0,IF(L56&lt;INICIO!$B$32*2,INICIO!$B$33,0))+IF(L57=0,0,IF(L57&lt;INICIO!$B$32*2,INICIO!$B$33,0))+IF(L58=0,0,IF(L58&lt;INICIO!$B$32*2,INICIO!$B$33,0))</f>
        <v>0</v>
      </c>
      <c r="M60" s="37">
        <f>IF(M43=0,0,IF(M43&lt;INICIO!$B$32*2,INICIO!$B$33,0))+IF(M44=0,0,IF(M44&lt;INICIO!$B$32*2,INICIO!$B$33,0))+IF(M45=0,0,IF(M45&lt;INICIO!$B$32*2,INICIO!$B$33,0))+IF(M46=0,0,IF(M46&lt;INICIO!$B$32*2,INICIO!$B$33,0))+IF(M47=0,0,IF(M47&lt;INICIO!$B$32*2,INICIO!$B$33,0))+IF(M48=0,0,IF(M48&lt;INICIO!$B$32*2,INICIO!$B$33,0))+IF(M49=0,0,IF(M49&lt;INICIO!$B$32*2,INICIO!$B$33,0))+IF(M50=0,0,IF(M50&lt;INICIO!$B$32*2,INICIO!$B$33,0))+IF(M51=0,0,IF(M51&lt;INICIO!$B$32*2,INICIO!$B$33,0))+IF(M52=0,0,IF(M52&lt;INICIO!$B$32*2,INICIO!$B$33,0))+IF(M53=0,0,IF(M53&lt;INICIO!$B$32*2,INICIO!$B$33,0))+IF(M54=0,0,IF(M54&lt;INICIO!$B$32*2,INICIO!$B$33,0))+IF(M55=0,0,IF(M55&lt;INICIO!$B$32*2,INICIO!$B$33,0))+IF(M56=0,0,IF(M56&lt;INICIO!$B$32*2,INICIO!$B$33,0))+IF(M57=0,0,IF(M57&lt;INICIO!$B$32*2,INICIO!$B$33,0))+IF(M58=0,0,IF(M58&lt;INICIO!$B$32*2,INICIO!$B$33,0))</f>
        <v>0</v>
      </c>
      <c r="N60" s="37">
        <f>IF(N43=0,0,IF(N43&lt;INICIO!$C$32*2,INICIO!$C$33,0))+IF(N44=0,0,IF(N44&lt;INICIO!$C$32*2,INICIO!$C$33,0))+IF(N45=0,0,IF(N45&lt;INICIO!$C$32*2,INICIO!$C$33,0))+IF(N46=0,0,IF(N46&lt;INICIO!$C$32*2,INICIO!$C$33,0))+IF(N47=0,0,IF(N47&lt;INICIO!$C$32*2,INICIO!$C$33,0))+IF(N48=0,0,IF(N48&lt;INICIO!$C$32*2,INICIO!$C$33,0))+IF(N49=0,0,IF(N49&lt;INICIO!$C$32*2,INICIO!$C$33,0))+IF(N50=0,0,IF(N50&lt;INICIO!$C$32*2,INICIO!$C$33,0))+IF(N51=0,0,IF(N51&lt;INICIO!$C$32*2,INICIO!$C$33,0))+IF(N52=0,0,IF(N52&lt;INICIO!$C$32*2,INICIO!$C$33,0))+IF(N53=0,0,IF(N53&lt;INICIO!$C$32*2,INICIO!$C$33,0))+IF(N54=0,0,IF(N54&lt;INICIO!$C$32*2,INICIO!$C$33,0))+IF(N55=0,0,IF(N55&lt;INICIO!$C$32*2,INICIO!$C$33,0))+IF(N56=0,0,IF(N56&lt;INICIO!$C$32*2,INICIO!$C$33,0))+IF(N57=0,0,IF(N57&lt;INICIO!$C$32*2,INICIO!$C$33,0))+IF(N58=0,0,IF(N58&lt;INICIO!$C$32*2,INICIO!$C$33,0))</f>
        <v>282000</v>
      </c>
      <c r="O60" s="37">
        <f>IF(O43=0,0,IF(O43&lt;INICIO!$C$32*2,INICIO!$C$33,0))+IF(O44=0,0,IF(O44&lt;INICIO!$C$32*2,INICIO!$C$33,0))+IF(O45=0,0,IF(O45&lt;INICIO!$C$32*2,INICIO!$C$33,0))+IF(O46=0,0,IF(O46&lt;INICIO!$C$32*2,INICIO!$C$33,0))+IF(O47=0,0,IF(O47&lt;INICIO!$C$32*2,INICIO!$C$33,0))+IF(O48=0,0,IF(O48&lt;INICIO!$C$32*2,INICIO!$C$33,0))+IF(O49=0,0,IF(O49&lt;INICIO!$C$32*2,INICIO!$C$33,0))+IF(O50=0,0,IF(O50&lt;INICIO!$C$32*2,INICIO!$C$33,0))+IF(O51=0,0,IF(O51&lt;INICIO!$C$32*2,INICIO!$C$33,0))+IF(O52=0,0,IF(O52&lt;INICIO!$C$32*2,INICIO!$C$33,0))+IF(O53=0,0,IF(O53&lt;INICIO!$C$32*2,INICIO!$C$33,0))+IF(O54=0,0,IF(O54&lt;INICIO!$C$32*2,INICIO!$C$33,0))+IF(O55=0,0,IF(O55&lt;INICIO!$C$32*2,INICIO!$C$33,0))+IF(O56=0,0,IF(O56&lt;INICIO!$C$32*2,INICIO!$C$33,0))+IF(O57=0,0,IF(O57&lt;INICIO!$C$32*2,INICIO!$C$33,0))+IF(O58=0,0,IF(O58&lt;INICIO!$C$32*2,INICIO!$C$33,0))</f>
        <v>282000</v>
      </c>
      <c r="P60" s="37">
        <f>IF(P43=0,0,IF(P43&lt;INICIO!$C$32*2,INICIO!$C$33,0))+IF(P44=0,0,IF(P44&lt;INICIO!$C$32*2,INICIO!$C$33,0))+IF(P45=0,0,IF(P45&lt;INICIO!$C$32*2,INICIO!$C$33,0))+IF(P46=0,0,IF(P46&lt;INICIO!$C$32*2,INICIO!$C$33,0))+IF(P47=0,0,IF(P47&lt;INICIO!$C$32*2,INICIO!$C$33,0))+IF(P48=0,0,IF(P48&lt;INICIO!$C$32*2,INICIO!$C$33,0))+IF(P49=0,0,IF(P49&lt;INICIO!$C$32*2,INICIO!$C$33,0))+IF(P50=0,0,IF(P50&lt;INICIO!$C$32*2,INICIO!$C$33,0))+IF(P51=0,0,IF(P51&lt;INICIO!$C$32*2,INICIO!$C$33,0))+IF(P52=0,0,IF(P52&lt;INICIO!$C$32*2,INICIO!$C$33,0))+IF(P53=0,0,IF(P53&lt;INICIO!$C$32*2,INICIO!$C$33,0))+IF(P54=0,0,IF(P54&lt;INICIO!$C$32*2,INICIO!$C$33,0))+IF(P55=0,0,IF(P55&lt;INICIO!$C$32*2,INICIO!$C$33,0))+IF(P56=0,0,IF(P56&lt;INICIO!$C$32*2,INICIO!$C$33,0))+IF(P57=0,0,IF(P57&lt;INICIO!$C$32*2,INICIO!$C$33,0))+IF(P58=0,0,IF(P58&lt;INICIO!$C$32*2,INICIO!$C$33,0))</f>
        <v>282000</v>
      </c>
      <c r="Q60" s="37">
        <f>IF(Q43=0,0,IF(Q43&lt;INICIO!$C$32*2,INICIO!$C$33,0))+IF(Q44=0,0,IF(Q44&lt;INICIO!$C$32*2,INICIO!$C$33,0))+IF(Q45=0,0,IF(Q45&lt;INICIO!$C$32*2,INICIO!$C$33,0))+IF(Q46=0,0,IF(Q46&lt;INICIO!$C$32*2,INICIO!$C$33,0))+IF(Q47=0,0,IF(Q47&lt;INICIO!$C$32*2,INICIO!$C$33,0))+IF(Q48=0,0,IF(Q48&lt;INICIO!$C$32*2,INICIO!$C$33,0))+IF(Q49=0,0,IF(Q49&lt;INICIO!$C$32*2,INICIO!$C$33,0))+IF(Q50=0,0,IF(Q50&lt;INICIO!$C$32*2,INICIO!$C$33,0))+IF(Q51=0,0,IF(Q51&lt;INICIO!$C$32*2,INICIO!$C$33,0))+IF(Q52=0,0,IF(Q52&lt;INICIO!$C$32*2,INICIO!$C$33,0))+IF(Q53=0,0,IF(Q53&lt;INICIO!$C$32*2,INICIO!$C$33,0))+IF(Q54=0,0,IF(Q54&lt;INICIO!$C$32*2,INICIO!$C$33,0))+IF(Q55=0,0,IF(Q55&lt;INICIO!$C$32*2,INICIO!$C$33,0))+IF(Q56=0,0,IF(Q56&lt;INICIO!$C$32*2,INICIO!$C$33,0))+IF(Q57=0,0,IF(Q57&lt;INICIO!$C$32*2,INICIO!$C$33,0))+IF(Q58=0,0,IF(Q58&lt;INICIO!$C$32*2,INICIO!$C$33,0))</f>
        <v>282000</v>
      </c>
      <c r="R60" s="37">
        <f>IF(R43=0,0,IF(R43&lt;INICIO!$C$32*2,INICIO!$C$33,0))+IF(R44=0,0,IF(R44&lt;INICIO!$C$32*2,INICIO!$C$33,0))+IF(R45=0,0,IF(R45&lt;INICIO!$C$32*2,INICIO!$C$33,0))+IF(R46=0,0,IF(R46&lt;INICIO!$C$32*2,INICIO!$C$33,0))+IF(R47=0,0,IF(R47&lt;INICIO!$C$32*2,INICIO!$C$33,0))+IF(R48=0,0,IF(R48&lt;INICIO!$C$32*2,INICIO!$C$33,0))+IF(R49=0,0,IF(R49&lt;INICIO!$C$32*2,INICIO!$C$33,0))+IF(R50=0,0,IF(R50&lt;INICIO!$C$32*2,INICIO!$C$33,0))+IF(R51=0,0,IF(R51&lt;INICIO!$C$32*2,INICIO!$C$33,0))+IF(R52=0,0,IF(R52&lt;INICIO!$C$32*2,INICIO!$C$33,0))+IF(R53=0,0,IF(R53&lt;INICIO!$C$32*2,INICIO!$C$33,0))+IF(R54=0,0,IF(R54&lt;INICIO!$C$32*2,INICIO!$C$33,0))+IF(R55=0,0,IF(R55&lt;INICIO!$C$32*2,INICIO!$C$33,0))+IF(R56=0,0,IF(R56&lt;INICIO!$C$32*2,INICIO!$C$33,0))+IF(R57=0,0,IF(R57&lt;INICIO!$C$32*2,INICIO!$C$33,0))+IF(R58=0,0,IF(R58&lt;INICIO!$C$32*2,INICIO!$C$33,0))</f>
        <v>282000</v>
      </c>
      <c r="S60" s="37">
        <f>IF(S43=0,0,IF(S43&lt;INICIO!$C$32*2,INICIO!$C$33,0))+IF(S44=0,0,IF(S44&lt;INICIO!$C$32*2,INICIO!$C$33,0))+IF(S45=0,0,IF(S45&lt;INICIO!$C$32*2,INICIO!$C$33,0))+IF(S46=0,0,IF(S46&lt;INICIO!$C$32*2,INICIO!$C$33,0))+IF(S47=0,0,IF(S47&lt;INICIO!$C$32*2,INICIO!$C$33,0))+IF(S48=0,0,IF(S48&lt;INICIO!$C$32*2,INICIO!$C$33,0))+IF(S49=0,0,IF(S49&lt;INICIO!$C$32*2,INICIO!$C$33,0))+IF(S50=0,0,IF(S50&lt;INICIO!$C$32*2,INICIO!$C$33,0))+IF(S51=0,0,IF(S51&lt;INICIO!$C$32*2,INICIO!$C$33,0))+IF(S52=0,0,IF(S52&lt;INICIO!$C$32*2,INICIO!$C$33,0))+IF(S53=0,0,IF(S53&lt;INICIO!$C$32*2,INICIO!$C$33,0))+IF(S54=0,0,IF(S54&lt;INICIO!$C$32*2,INICIO!$C$33,0))+IF(S55=0,0,IF(S55&lt;INICIO!$C$32*2,INICIO!$C$33,0))+IF(S56=0,0,IF(S56&lt;INICIO!$C$32*2,INICIO!$C$33,0))+IF(S57=0,0,IF(S57&lt;INICIO!$C$32*2,INICIO!$C$33,0))+IF(S58=0,0,IF(S58&lt;INICIO!$C$32*2,INICIO!$C$33,0))</f>
        <v>282000</v>
      </c>
      <c r="T60" s="37">
        <f>IF(T43=0,0,IF(T43&lt;INICIO!$C$32*2,INICIO!$C$33,0))+IF(T44=0,0,IF(T44&lt;INICIO!$C$32*2,INICIO!$C$33,0))+IF(T45=0,0,IF(T45&lt;INICIO!$C$32*2,INICIO!$C$33,0))+IF(T46=0,0,IF(T46&lt;INICIO!$C$32*2,INICIO!$C$33,0))+IF(T47=0,0,IF(T47&lt;INICIO!$C$32*2,INICIO!$C$33,0))+IF(T48=0,0,IF(T48&lt;INICIO!$C$32*2,INICIO!$C$33,0))+IF(T49=0,0,IF(T49&lt;INICIO!$C$32*2,INICIO!$C$33,0))+IF(T50=0,0,IF(T50&lt;INICIO!$C$32*2,INICIO!$C$33,0))+IF(T51=0,0,IF(T51&lt;INICIO!$C$32*2,INICIO!$C$33,0))+IF(T52=0,0,IF(T52&lt;INICIO!$C$32*2,INICIO!$C$33,0))+IF(T53=0,0,IF(T53&lt;INICIO!$C$32*2,INICIO!$C$33,0))+IF(T54=0,0,IF(T54&lt;INICIO!$C$32*2,INICIO!$C$33,0))+IF(T55=0,0,IF(T55&lt;INICIO!$C$32*2,INICIO!$C$33,0))+IF(T56=0,0,IF(T56&lt;INICIO!$C$32*2,INICIO!$C$33,0))+IF(T57=0,0,IF(T57&lt;INICIO!$C$32*2,INICIO!$C$33,0))+IF(T58=0,0,IF(T58&lt;INICIO!$C$32*2,INICIO!$C$33,0))</f>
        <v>282000</v>
      </c>
      <c r="U60" s="37">
        <f>IF(U43=0,0,IF(U43&lt;INICIO!$C$32*2,INICIO!$C$33,0))+IF(U44=0,0,IF(U44&lt;INICIO!$C$32*2,INICIO!$C$33,0))+IF(U45=0,0,IF(U45&lt;INICIO!$C$32*2,INICIO!$C$33,0))+IF(U46=0,0,IF(U46&lt;INICIO!$C$32*2,INICIO!$C$33,0))+IF(U47=0,0,IF(U47&lt;INICIO!$C$32*2,INICIO!$C$33,0))+IF(U48=0,0,IF(U48&lt;INICIO!$C$32*2,INICIO!$C$33,0))+IF(U49=0,0,IF(U49&lt;INICIO!$C$32*2,INICIO!$C$33,0))+IF(U50=0,0,IF(U50&lt;INICIO!$C$32*2,INICIO!$C$33,0))+IF(U51=0,0,IF(U51&lt;INICIO!$C$32*2,INICIO!$C$33,0))+IF(U52=0,0,IF(U52&lt;INICIO!$C$32*2,INICIO!$C$33,0))+IF(U53=0,0,IF(U53&lt;INICIO!$C$32*2,INICIO!$C$33,0))+IF(U54=0,0,IF(U54&lt;INICIO!$C$32*2,INICIO!$C$33,0))+IF(U55=0,0,IF(U55&lt;INICIO!$C$32*2,INICIO!$C$33,0))+IF(U56=0,0,IF(U56&lt;INICIO!$C$32*2,INICIO!$C$33,0))+IF(U57=0,0,IF(U57&lt;INICIO!$C$32*2,INICIO!$C$33,0))+IF(U58=0,0,IF(U58&lt;INICIO!$C$32*2,INICIO!$C$33,0))</f>
        <v>282000</v>
      </c>
      <c r="V60" s="37">
        <f>IF(V43=0,0,IF(V43&lt;INICIO!$C$32*2,INICIO!$C$33,0))+IF(V44=0,0,IF(V44&lt;INICIO!$C$32*2,INICIO!$C$33,0))+IF(V45=0,0,IF(V45&lt;INICIO!$C$32*2,INICIO!$C$33,0))+IF(V46=0,0,IF(V46&lt;INICIO!$C$32*2,INICIO!$C$33,0))+IF(V47=0,0,IF(V47&lt;INICIO!$C$32*2,INICIO!$C$33,0))+IF(V48=0,0,IF(V48&lt;INICIO!$C$32*2,INICIO!$C$33,0))+IF(V49=0,0,IF(V49&lt;INICIO!$C$32*2,INICIO!$C$33,0))+IF(V50=0,0,IF(V50&lt;INICIO!$C$32*2,INICIO!$C$33,0))+IF(V51=0,0,IF(V51&lt;INICIO!$C$32*2,INICIO!$C$33,0))+IF(V52=0,0,IF(V52&lt;INICIO!$C$32*2,INICIO!$C$33,0))+IF(V53=0,0,IF(V53&lt;INICIO!$C$32*2,INICIO!$C$33,0))+IF(V54=0,0,IF(V54&lt;INICIO!$C$32*2,INICIO!$C$33,0))+IF(V55=0,0,IF(V55&lt;INICIO!$C$32*2,INICIO!$C$33,0))+IF(V56=0,0,IF(V56&lt;INICIO!$C$32*2,INICIO!$C$33,0))+IF(V57=0,0,IF(V57&lt;INICIO!$C$32*2,INICIO!$C$33,0))+IF(V58=0,0,IF(V58&lt;INICIO!$C$32*2,INICIO!$C$33,0))</f>
        <v>282000</v>
      </c>
      <c r="W60" s="37">
        <f>IF(W43=0,0,IF(W43&lt;INICIO!$C$32*2,INICIO!$C$33,0))+IF(W44=0,0,IF(W44&lt;INICIO!$C$32*2,INICIO!$C$33,0))+IF(W45=0,0,IF(W45&lt;INICIO!$C$32*2,INICIO!$C$33,0))+IF(W46=0,0,IF(W46&lt;INICIO!$C$32*2,INICIO!$C$33,0))+IF(W47=0,0,IF(W47&lt;INICIO!$C$32*2,INICIO!$C$33,0))+IF(W48=0,0,IF(W48&lt;INICIO!$C$32*2,INICIO!$C$33,0))+IF(W49=0,0,IF(W49&lt;INICIO!$C$32*2,INICIO!$C$33,0))+IF(W50=0,0,IF(W50&lt;INICIO!$C$32*2,INICIO!$C$33,0))+IF(W51=0,0,IF(W51&lt;INICIO!$C$32*2,INICIO!$C$33,0))+IF(W52=0,0,IF(W52&lt;INICIO!$C$32*2,INICIO!$C$33,0))+IF(W53=0,0,IF(W53&lt;INICIO!$C$32*2,INICIO!$C$33,0))+IF(W54=0,0,IF(W54&lt;INICIO!$C$32*2,INICIO!$C$33,0))+IF(W55=0,0,IF(W55&lt;INICIO!$C$32*2,INICIO!$C$33,0))+IF(W56=0,0,IF(W56&lt;INICIO!$C$32*2,INICIO!$C$33,0))+IF(W57=0,0,IF(W57&lt;INICIO!$C$32*2,INICIO!$C$33,0))+IF(W58=0,0,IF(W58&lt;INICIO!$C$32*2,INICIO!$C$33,0))</f>
        <v>282000</v>
      </c>
      <c r="X60" s="37">
        <f>IF(X43=0,0,IF(X43&lt;INICIO!$C$32*2,INICIO!$C$33,0))+IF(X44=0,0,IF(X44&lt;INICIO!$C$32*2,INICIO!$C$33,0))+IF(X45=0,0,IF(X45&lt;INICIO!$C$32*2,INICIO!$C$33,0))+IF(X46=0,0,IF(X46&lt;INICIO!$C$32*2,INICIO!$C$33,0))+IF(X47=0,0,IF(X47&lt;INICIO!$C$32*2,INICIO!$C$33,0))+IF(X48=0,0,IF(X48&lt;INICIO!$C$32*2,INICIO!$C$33,0))+IF(X49=0,0,IF(X49&lt;INICIO!$C$32*2,INICIO!$C$33,0))+IF(X50=0,0,IF(X50&lt;INICIO!$C$32*2,INICIO!$C$33,0))+IF(X51=0,0,IF(X51&lt;INICIO!$C$32*2,INICIO!$C$33,0))+IF(X52=0,0,IF(X52&lt;INICIO!$C$32*2,INICIO!$C$33,0))+IF(X53=0,0,IF(X53&lt;INICIO!$C$32*2,INICIO!$C$33,0))+IF(X54=0,0,IF(X54&lt;INICIO!$C$32*2,INICIO!$C$33,0))+IF(X55=0,0,IF(X55&lt;INICIO!$C$32*2,INICIO!$C$33,0))+IF(X56=0,0,IF(X56&lt;INICIO!$C$32*2,INICIO!$C$33,0))+IF(X57=0,0,IF(X57&lt;INICIO!$C$32*2,INICIO!$C$33,0))+IF(X58=0,0,IF(X58&lt;INICIO!$C$32*2,INICIO!$C$33,0))</f>
        <v>282000</v>
      </c>
      <c r="Y60" s="37">
        <f>IF(Y43=0,0,IF(Y43&lt;INICIO!$C$32*2,INICIO!$C$33,0))+IF(Y44=0,0,IF(Y44&lt;INICIO!$C$32*2,INICIO!$C$33,0))+IF(Y45=0,0,IF(Y45&lt;INICIO!$C$32*2,INICIO!$C$33,0))+IF(Y46=0,0,IF(Y46&lt;INICIO!$C$32*2,INICIO!$C$33,0))+IF(Y47=0,0,IF(Y47&lt;INICIO!$C$32*2,INICIO!$C$33,0))+IF(Y48=0,0,IF(Y48&lt;INICIO!$C$32*2,INICIO!$C$33,0))+IF(Y49=0,0,IF(Y49&lt;INICIO!$C$32*2,INICIO!$C$33,0))+IF(Y50=0,0,IF(Y50&lt;INICIO!$C$32*2,INICIO!$C$33,0))+IF(Y51=0,0,IF(Y51&lt;INICIO!$C$32*2,INICIO!$C$33,0))+IF(Y52=0,0,IF(Y52&lt;INICIO!$C$32*2,INICIO!$C$33,0))+IF(Y53=0,0,IF(Y53&lt;INICIO!$C$32*2,INICIO!$C$33,0))+IF(Y54=0,0,IF(Y54&lt;INICIO!$C$32*2,INICIO!$C$33,0))+IF(Y55=0,0,IF(Y55&lt;INICIO!$C$32*2,INICIO!$C$33,0))+IF(Y56=0,0,IF(Y56&lt;INICIO!$C$32*2,INICIO!$C$33,0))+IF(Y57=0,0,IF(Y57&lt;INICIO!$C$32*2,INICIO!$C$33,0))+IF(Y58=0,0,IF(Y58&lt;INICIO!$C$32*2,INICIO!$C$33,0))</f>
        <v>282000</v>
      </c>
      <c r="Z60" s="37">
        <f>IF(Z43=0,0,IF(Z43&lt;INICIO!$D$32*2,INICIO!$D$33,0))+IF(Z44=0,0,IF(Z44&lt;INICIO!$D$32*2,INICIO!$D$33,0))+IF(Z45=0,0,IF(Z45&lt;INICIO!$D$32*2,INICIO!$D$33,0))+IF(Z46=0,0,IF(Z46&lt;INICIO!$D$32*2,INICIO!$D$33,0))+IF(Z47=0,0,IF(Z47&lt;INICIO!$D$32*2,INICIO!$D$33,0))+IF(Z48=0,0,IF(Z48&lt;INICIO!$D$32*2,INICIO!$D$33,0))+IF(Z49=0,0,IF(Z49&lt;INICIO!$D$32*2,INICIO!$D$33,0))+IF(Z50=0,0,IF(Z50&lt;INICIO!$D$32*2,INICIO!$D$33,0))+IF(Z51=0,0,IF(Z51&lt;INICIO!$D$32*2,INICIO!$D$33,0))+IF(Z52=0,0,IF(Z52&lt;INICIO!$D$32*2,INICIO!$D$33,0))+IF(Z53=0,0,IF(Z53&lt;INICIO!$D$32*2,INICIO!$D$33,0))+IF(Z54=0,0,IF(Z54&lt;INICIO!$D$32*2,INICIO!$D$33,0))+IF(Z55=0,0,IF(Z55&lt;INICIO!$D$32*2,INICIO!$D$33,0))+IF(Z56=0,0,IF(Z56&lt;INICIO!$D$32*2,INICIO!$D$33,0))+IF(Z57=0,0,IF(Z57&lt;INICIO!$D$32*2,INICIO!$D$33,0))+IF(Z58=0,0,IF(Z58&lt;INICIO!$D$32*2,INICIO!$D$33,0))</f>
        <v>588000</v>
      </c>
      <c r="AA60" s="37">
        <f>IF(AA43=0,0,IF(AA43&lt;INICIO!$D$32*2,INICIO!$D$33,0))+IF(AA44=0,0,IF(AA44&lt;INICIO!$D$32*2,INICIO!$D$33,0))+IF(AA45=0,0,IF(AA45&lt;INICIO!$D$32*2,INICIO!$D$33,0))+IF(AA46=0,0,IF(AA46&lt;INICIO!$D$32*2,INICIO!$D$33,0))+IF(AA47=0,0,IF(AA47&lt;INICIO!$D$32*2,INICIO!$D$33,0))+IF(AA48=0,0,IF(AA48&lt;INICIO!$D$32*2,INICIO!$D$33,0))+IF(AA49=0,0,IF(AA49&lt;INICIO!$D$32*2,INICIO!$D$33,0))+IF(AA50=0,0,IF(AA50&lt;INICIO!$D$32*2,INICIO!$D$33,0))+IF(AA51=0,0,IF(AA51&lt;INICIO!$D$32*2,INICIO!$D$33,0))+IF(AA52=0,0,IF(AA52&lt;INICIO!$D$32*2,INICIO!$D$33,0))+IF(AA53=0,0,IF(AA53&lt;INICIO!$D$32*2,INICIO!$D$33,0))+IF(AA54=0,0,IF(AA54&lt;INICIO!$D$32*2,INICIO!$D$33,0))+IF(AA55=0,0,IF(AA55&lt;INICIO!$D$32*2,INICIO!$D$33,0))+IF(AA56=0,0,IF(AA56&lt;INICIO!$D$32*2,INICIO!$D$33,0))+IF(AA57=0,0,IF(AA57&lt;INICIO!$D$32*2,INICIO!$D$33,0))+IF(AA58=0,0,IF(AA58&lt;INICIO!$D$32*2,INICIO!$D$33,0))</f>
        <v>588000</v>
      </c>
      <c r="AB60" s="37">
        <f>IF(AB43=0,0,IF(AB43&lt;INICIO!$D$32*2,INICIO!$D$33,0))+IF(AB44=0,0,IF(AB44&lt;INICIO!$D$32*2,INICIO!$D$33,0))+IF(AB45=0,0,IF(AB45&lt;INICIO!$D$32*2,INICIO!$D$33,0))+IF(AB46=0,0,IF(AB46&lt;INICIO!$D$32*2,INICIO!$D$33,0))+IF(AB47=0,0,IF(AB47&lt;INICIO!$D$32*2,INICIO!$D$33,0))+IF(AB48=0,0,IF(AB48&lt;INICIO!$D$32*2,INICIO!$D$33,0))+IF(AB49=0,0,IF(AB49&lt;INICIO!$D$32*2,INICIO!$D$33,0))+IF(AB50=0,0,IF(AB50&lt;INICIO!$D$32*2,INICIO!$D$33,0))+IF(AB51=0,0,IF(AB51&lt;INICIO!$D$32*2,INICIO!$D$33,0))+IF(AB52=0,0,IF(AB52&lt;INICIO!$D$32*2,INICIO!$D$33,0))+IF(AB53=0,0,IF(AB53&lt;INICIO!$D$32*2,INICIO!$D$33,0))+IF(AB54=0,0,IF(AB54&lt;INICIO!$D$32*2,INICIO!$D$33,0))+IF(AB55=0,0,IF(AB55&lt;INICIO!$D$32*2,INICIO!$D$33,0))+IF(AB56=0,0,IF(AB56&lt;INICIO!$D$32*2,INICIO!$D$33,0))+IF(AB57=0,0,IF(AB57&lt;INICIO!$D$32*2,INICIO!$D$33,0))+IF(AB58=0,0,IF(AB58&lt;INICIO!$D$32*2,INICIO!$D$33,0))</f>
        <v>588000</v>
      </c>
      <c r="AC60" s="37">
        <f>IF(AC43=0,0,IF(AC43&lt;INICIO!$D$32*2,INICIO!$D$33,0))+IF(AC44=0,0,IF(AC44&lt;INICIO!$D$32*2,INICIO!$D$33,0))+IF(AC45=0,0,IF(AC45&lt;INICIO!$D$32*2,INICIO!$D$33,0))+IF(AC46=0,0,IF(AC46&lt;INICIO!$D$32*2,INICIO!$D$33,0))+IF(AC47=0,0,IF(AC47&lt;INICIO!$D$32*2,INICIO!$D$33,0))+IF(AC48=0,0,IF(AC48&lt;INICIO!$D$32*2,INICIO!$D$33,0))+IF(AC49=0,0,IF(AC49&lt;INICIO!$D$32*2,INICIO!$D$33,0))+IF(AC50=0,0,IF(AC50&lt;INICIO!$D$32*2,INICIO!$D$33,0))+IF(AC51=0,0,IF(AC51&lt;INICIO!$D$32*2,INICIO!$D$33,0))+IF(AC52=0,0,IF(AC52&lt;INICIO!$D$32*2,INICIO!$D$33,0))+IF(AC53=0,0,IF(AC53&lt;INICIO!$D$32*2,INICIO!$D$33,0))+IF(AC54=0,0,IF(AC54&lt;INICIO!$D$32*2,INICIO!$D$33,0))+IF(AC55=0,0,IF(AC55&lt;INICIO!$D$32*2,INICIO!$D$33,0))+IF(AC56=0,0,IF(AC56&lt;INICIO!$D$32*2,INICIO!$D$33,0))+IF(AC57=0,0,IF(AC57&lt;INICIO!$D$32*2,INICIO!$D$33,0))+IF(AC58=0,0,IF(AC58&lt;INICIO!$D$32*2,INICIO!$D$33,0))</f>
        <v>588000</v>
      </c>
      <c r="AD60" s="37">
        <f>IF(AD43=0,0,IF(AD43&lt;INICIO!$D$32*2,INICIO!$D$33,0))+IF(AD44=0,0,IF(AD44&lt;INICIO!$D$32*2,INICIO!$D$33,0))+IF(AD45=0,0,IF(AD45&lt;INICIO!$D$32*2,INICIO!$D$33,0))+IF(AD46=0,0,IF(AD46&lt;INICIO!$D$32*2,INICIO!$D$33,0))+IF(AD47=0,0,IF(AD47&lt;INICIO!$D$32*2,INICIO!$D$33,0))+IF(AD48=0,0,IF(AD48&lt;INICIO!$D$32*2,INICIO!$D$33,0))+IF(AD49=0,0,IF(AD49&lt;INICIO!$D$32*2,INICIO!$D$33,0))+IF(AD50=0,0,IF(AD50&lt;INICIO!$D$32*2,INICIO!$D$33,0))+IF(AD51=0,0,IF(AD51&lt;INICIO!$D$32*2,INICIO!$D$33,0))+IF(AD52=0,0,IF(AD52&lt;INICIO!$D$32*2,INICIO!$D$33,0))+IF(AD53=0,0,IF(AD53&lt;INICIO!$D$32*2,INICIO!$D$33,0))+IF(AD54=0,0,IF(AD54&lt;INICIO!$D$32*2,INICIO!$D$33,0))+IF(AD55=0,0,IF(AD55&lt;INICIO!$D$32*2,INICIO!$D$33,0))+IF(AD56=0,0,IF(AD56&lt;INICIO!$D$32*2,INICIO!$D$33,0))+IF(AD57=0,0,IF(AD57&lt;INICIO!$D$32*2,INICIO!$D$33,0))+IF(AD58=0,0,IF(AD58&lt;INICIO!$D$32*2,INICIO!$D$33,0))</f>
        <v>588000</v>
      </c>
      <c r="AE60" s="37">
        <f>IF(AE43=0,0,IF(AE43&lt;INICIO!$D$32*2,INICIO!$D$33,0))+IF(AE44=0,0,IF(AE44&lt;INICIO!$D$32*2,INICIO!$D$33,0))+IF(AE45=0,0,IF(AE45&lt;INICIO!$D$32*2,INICIO!$D$33,0))+IF(AE46=0,0,IF(AE46&lt;INICIO!$D$32*2,INICIO!$D$33,0))+IF(AE47=0,0,IF(AE47&lt;INICIO!$D$32*2,INICIO!$D$33,0))+IF(AE48=0,0,IF(AE48&lt;INICIO!$D$32*2,INICIO!$D$33,0))+IF(AE49=0,0,IF(AE49&lt;INICIO!$D$32*2,INICIO!$D$33,0))+IF(AE50=0,0,IF(AE50&lt;INICIO!$D$32*2,INICIO!$D$33,0))+IF(AE51=0,0,IF(AE51&lt;INICIO!$D$32*2,INICIO!$D$33,0))+IF(AE52=0,0,IF(AE52&lt;INICIO!$D$32*2,INICIO!$D$33,0))+IF(AE53=0,0,IF(AE53&lt;INICIO!$D$32*2,INICIO!$D$33,0))+IF(AE54=0,0,IF(AE54&lt;INICIO!$D$32*2,INICIO!$D$33,0))+IF(AE55=0,0,IF(AE55&lt;INICIO!$D$32*2,INICIO!$D$33,0))+IF(AE56=0,0,IF(AE56&lt;INICIO!$D$32*2,INICIO!$D$33,0))+IF(AE57=0,0,IF(AE57&lt;INICIO!$D$32*2,INICIO!$D$33,0))+IF(AE58=0,0,IF(AE58&lt;INICIO!$D$32*2,INICIO!$D$33,0))</f>
        <v>588000</v>
      </c>
      <c r="AF60" s="37">
        <f>IF(AF43=0,0,IF(AF43&lt;INICIO!$D$32*2,INICIO!$D$33,0))+IF(AF44=0,0,IF(AF44&lt;INICIO!$D$32*2,INICIO!$D$33,0))+IF(AF45=0,0,IF(AF45&lt;INICIO!$D$32*2,INICIO!$D$33,0))+IF(AF46=0,0,IF(AF46&lt;INICIO!$D$32*2,INICIO!$D$33,0))+IF(AF47=0,0,IF(AF47&lt;INICIO!$D$32*2,INICIO!$D$33,0))+IF(AF48=0,0,IF(AF48&lt;INICIO!$D$32*2,INICIO!$D$33,0))+IF(AF49=0,0,IF(AF49&lt;INICIO!$D$32*2,INICIO!$D$33,0))+IF(AF50=0,0,IF(AF50&lt;INICIO!$D$32*2,INICIO!$D$33,0))+IF(AF51=0,0,IF(AF51&lt;INICIO!$D$32*2,INICIO!$D$33,0))+IF(AF52=0,0,IF(AF52&lt;INICIO!$D$32*2,INICIO!$D$33,0))+IF(AF53=0,0,IF(AF53&lt;INICIO!$D$32*2,INICIO!$D$33,0))+IF(AF54=0,0,IF(AF54&lt;INICIO!$D$32*2,INICIO!$D$33,0))+IF(AF55=0,0,IF(AF55&lt;INICIO!$D$32*2,INICIO!$D$33,0))+IF(AF56=0,0,IF(AF56&lt;INICIO!$D$32*2,INICIO!$D$33,0))+IF(AF57=0,0,IF(AF57&lt;INICIO!$D$32*2,INICIO!$D$33,0))+IF(AF58=0,0,IF(AF58&lt;INICIO!$D$32*2,INICIO!$D$33,0))</f>
        <v>588000</v>
      </c>
      <c r="AG60" s="37">
        <f>IF(AG43=0,0,IF(AG43&lt;INICIO!$D$32*2,INICIO!$D$33,0))+IF(AG44=0,0,IF(AG44&lt;INICIO!$D$32*2,INICIO!$D$33,0))+IF(AG45=0,0,IF(AG45&lt;INICIO!$D$32*2,INICIO!$D$33,0))+IF(AG46=0,0,IF(AG46&lt;INICIO!$D$32*2,INICIO!$D$33,0))+IF(AG47=0,0,IF(AG47&lt;INICIO!$D$32*2,INICIO!$D$33,0))+IF(AG48=0,0,IF(AG48&lt;INICIO!$D$32*2,INICIO!$D$33,0))+IF(AG49=0,0,IF(AG49&lt;INICIO!$D$32*2,INICIO!$D$33,0))+IF(AG50=0,0,IF(AG50&lt;INICIO!$D$32*2,INICIO!$D$33,0))+IF(AG51=0,0,IF(AG51&lt;INICIO!$D$32*2,INICIO!$D$33,0))+IF(AG52=0,0,IF(AG52&lt;INICIO!$D$32*2,INICIO!$D$33,0))+IF(AG53=0,0,IF(AG53&lt;INICIO!$D$32*2,INICIO!$D$33,0))+IF(AG54=0,0,IF(AG54&lt;INICIO!$D$32*2,INICIO!$D$33,0))+IF(AG55=0,0,IF(AG55&lt;INICIO!$D$32*2,INICIO!$D$33,0))+IF(AG56=0,0,IF(AG56&lt;INICIO!$D$32*2,INICIO!$D$33,0))+IF(AG57=0,0,IF(AG57&lt;INICIO!$D$32*2,INICIO!$D$33,0))+IF(AG58=0,0,IF(AG58&lt;INICIO!$D$32*2,INICIO!$D$33,0))</f>
        <v>588000</v>
      </c>
      <c r="AH60" s="37">
        <f>IF(AH43=0,0,IF(AH43&lt;INICIO!$D$32*2,INICIO!$D$33,0))+IF(AH44=0,0,IF(AH44&lt;INICIO!$D$32*2,INICIO!$D$33,0))+IF(AH45=0,0,IF(AH45&lt;INICIO!$D$32*2,INICIO!$D$33,0))+IF(AH46=0,0,IF(AH46&lt;INICIO!$D$32*2,INICIO!$D$33,0))+IF(AH47=0,0,IF(AH47&lt;INICIO!$D$32*2,INICIO!$D$33,0))+IF(AH48=0,0,IF(AH48&lt;INICIO!$D$32*2,INICIO!$D$33,0))+IF(AH49=0,0,IF(AH49&lt;INICIO!$D$32*2,INICIO!$D$33,0))+IF(AH50=0,0,IF(AH50&lt;INICIO!$D$32*2,INICIO!$D$33,0))+IF(AH51=0,0,IF(AH51&lt;INICIO!$D$32*2,INICIO!$D$33,0))+IF(AH52=0,0,IF(AH52&lt;INICIO!$D$32*2,INICIO!$D$33,0))+IF(AH53=0,0,IF(AH53&lt;INICIO!$D$32*2,INICIO!$D$33,0))+IF(AH54=0,0,IF(AH54&lt;INICIO!$D$32*2,INICIO!$D$33,0))+IF(AH55=0,0,IF(AH55&lt;INICIO!$D$32*2,INICIO!$D$33,0))+IF(AH56=0,0,IF(AH56&lt;INICIO!$D$32*2,INICIO!$D$33,0))+IF(AH57=0,0,IF(AH57&lt;INICIO!$D$32*2,INICIO!$D$33,0))+IF(AH58=0,0,IF(AH58&lt;INICIO!$D$32*2,INICIO!$D$33,0))</f>
        <v>588000</v>
      </c>
      <c r="AI60" s="37">
        <f>IF(AI43=0,0,IF(AI43&lt;INICIO!$D$32*2,INICIO!$D$33,0))+IF(AI44=0,0,IF(AI44&lt;INICIO!$D$32*2,INICIO!$D$33,0))+IF(AI45=0,0,IF(AI45&lt;INICIO!$D$32*2,INICIO!$D$33,0))+IF(AI46=0,0,IF(AI46&lt;INICIO!$D$32*2,INICIO!$D$33,0))+IF(AI47=0,0,IF(AI47&lt;INICIO!$D$32*2,INICIO!$D$33,0))+IF(AI48=0,0,IF(AI48&lt;INICIO!$D$32*2,INICIO!$D$33,0))+IF(AI49=0,0,IF(AI49&lt;INICIO!$D$32*2,INICIO!$D$33,0))+IF(AI50=0,0,IF(AI50&lt;INICIO!$D$32*2,INICIO!$D$33,0))+IF(AI51=0,0,IF(AI51&lt;INICIO!$D$32*2,INICIO!$D$33,0))+IF(AI52=0,0,IF(AI52&lt;INICIO!$D$32*2,INICIO!$D$33,0))+IF(AI53=0,0,IF(AI53&lt;INICIO!$D$32*2,INICIO!$D$33,0))+IF(AI54=0,0,IF(AI54&lt;INICIO!$D$32*2,INICIO!$D$33,0))+IF(AI55=0,0,IF(AI55&lt;INICIO!$D$32*2,INICIO!$D$33,0))+IF(AI56=0,0,IF(AI56&lt;INICIO!$D$32*2,INICIO!$D$33,0))+IF(AI57=0,0,IF(AI57&lt;INICIO!$D$32*2,INICIO!$D$33,0))+IF(AI58=0,0,IF(AI58&lt;INICIO!$D$32*2,INICIO!$D$33,0))</f>
        <v>588000</v>
      </c>
      <c r="AJ60" s="37">
        <f>IF(AJ43=0,0,IF(AJ43&lt;INICIO!$D$32*2,INICIO!$D$33,0))+IF(AJ44=0,0,IF(AJ44&lt;INICIO!$D$32*2,INICIO!$D$33,0))+IF(AJ45=0,0,IF(AJ45&lt;INICIO!$D$32*2,INICIO!$D$33,0))+IF(AJ46=0,0,IF(AJ46&lt;INICIO!$D$32*2,INICIO!$D$33,0))+IF(AJ47=0,0,IF(AJ47&lt;INICIO!$D$32*2,INICIO!$D$33,0))+IF(AJ48=0,0,IF(AJ48&lt;INICIO!$D$32*2,INICIO!$D$33,0))+IF(AJ49=0,0,IF(AJ49&lt;INICIO!$D$32*2,INICIO!$D$33,0))+IF(AJ50=0,0,IF(AJ50&lt;INICIO!$D$32*2,INICIO!$D$33,0))+IF(AJ51=0,0,IF(AJ51&lt;INICIO!$D$32*2,INICIO!$D$33,0))+IF(AJ52=0,0,IF(AJ52&lt;INICIO!$D$32*2,INICIO!$D$33,0))+IF(AJ53=0,0,IF(AJ53&lt;INICIO!$D$32*2,INICIO!$D$33,0))+IF(AJ54=0,0,IF(AJ54&lt;INICIO!$D$32*2,INICIO!$D$33,0))+IF(AJ55=0,0,IF(AJ55&lt;INICIO!$D$32*2,INICIO!$D$33,0))+IF(AJ56=0,0,IF(AJ56&lt;INICIO!$D$32*2,INICIO!$D$33,0))+IF(AJ57=0,0,IF(AJ57&lt;INICIO!$D$32*2,INICIO!$D$33,0))+IF(AJ58=0,0,IF(AJ58&lt;INICIO!$D$32*2,INICIO!$D$33,0))</f>
        <v>588000</v>
      </c>
      <c r="AK60" s="37">
        <f>IF(AK43=0,0,IF(AK43&lt;INICIO!$D$32*2,INICIO!$D$33,0))+IF(AK44=0,0,IF(AK44&lt;INICIO!$D$32*2,INICIO!$D$33,0))+IF(AK45=0,0,IF(AK45&lt;INICIO!$D$32*2,INICIO!$D$33,0))+IF(AK46=0,0,IF(AK46&lt;INICIO!$D$32*2,INICIO!$D$33,0))+IF(AK47=0,0,IF(AK47&lt;INICIO!$D$32*2,INICIO!$D$33,0))+IF(AK48=0,0,IF(AK48&lt;INICIO!$D$32*2,INICIO!$D$33,0))+IF(AK49=0,0,IF(AK49&lt;INICIO!$D$32*2,INICIO!$D$33,0))+IF(AK50=0,0,IF(AK50&lt;INICIO!$D$32*2,INICIO!$D$33,0))+IF(AK51=0,0,IF(AK51&lt;INICIO!$D$32*2,INICIO!$D$33,0))+IF(AK52=0,0,IF(AK52&lt;INICIO!$D$32*2,INICIO!$D$33,0))+IF(AK53=0,0,IF(AK53&lt;INICIO!$D$32*2,INICIO!$D$33,0))+IF(AK54=0,0,IF(AK54&lt;INICIO!$D$32*2,INICIO!$D$33,0))+IF(AK55=0,0,IF(AK55&lt;INICIO!$D$32*2,INICIO!$D$33,0))+IF(AK56=0,0,IF(AK56&lt;INICIO!$D$32*2,INICIO!$D$33,0))+IF(AK57=0,0,IF(AK57&lt;INICIO!$D$32*2,INICIO!$D$33,0))+IF(AK58=0,0,IF(AK58&lt;INICIO!$D$32*2,INICIO!$D$33,0))</f>
        <v>588000</v>
      </c>
      <c r="AL60" s="37">
        <f>IF(AL43=0,0,IF(AL43&lt;INICIO!$E$32*2,INICIO!$E$33,0))+IF(AL44=0,0,IF(AL44&lt;INICIO!$E$32*2,INICIO!$E$33,0))+IF(AL45=0,0,IF(AL45&lt;INICIO!$E$32*2,INICIO!$E$33,0))+IF(AL46=0,0,IF(AL46&lt;INICIO!$E$32*2,INICIO!$E$33,0))+IF(AL47=0,0,IF(AL47&lt;INICIO!$E$32*2,INICIO!$E$33,0))+IF(AL48=0,0,IF(AL48&lt;INICIO!$E$32*2,INICIO!$E$33,0))+IF(AL49=0,0,IF(AL49&lt;INICIO!$E$32*2,INICIO!$E$33,0))+IF(AL50=0,0,IF(AL50&lt;INICIO!$E$32*2,INICIO!$E$33,0))+IF(AL51=0,0,IF(AL51&lt;INICIO!$E$32*2,INICIO!$E$33,0))+IF(AL52=0,0,IF(AL52&lt;INICIO!$E$32*2,INICIO!$E$33,0))+IF(AL53=0,0,IF(AL53&lt;INICIO!$E$32*2,INICIO!$E$33,0))+IF(AL54=0,0,IF(AL54&lt;INICIO!$E$32*2,INICIO!$E$33,0))+IF(AL55=0,0,IF(AL55&lt;INICIO!$E$32*2,INICIO!$E$33,0))+IF(AL56=0,0,IF(AL56&lt;INICIO!$E$32*2,INICIO!$E$33,0))+IF(AL57=0,0,IF(AL57&lt;INICIO!$E$32*2,INICIO!$E$33,0))+IF(AL58=0,0,IF(AL58&lt;INICIO!$E$32*2,INICIO!$E$33,0))</f>
        <v>612000</v>
      </c>
      <c r="AM60" s="37">
        <f>IF(AM43=0,0,IF(AM43&lt;INICIO!$E$32*2,INICIO!$E$33,0))+IF(AM44=0,0,IF(AM44&lt;INICIO!$E$32*2,INICIO!$E$33,0))+IF(AM45=0,0,IF(AM45&lt;INICIO!$E$32*2,INICIO!$E$33,0))+IF(AM46=0,0,IF(AM46&lt;INICIO!$E$32*2,INICIO!$E$33,0))+IF(AM47=0,0,IF(AM47&lt;INICIO!$E$32*2,INICIO!$E$33,0))+IF(AM48=0,0,IF(AM48&lt;INICIO!$E$32*2,INICIO!$E$33,0))+IF(AM49=0,0,IF(AM49&lt;INICIO!$E$32*2,INICIO!$E$33,0))+IF(AM50=0,0,IF(AM50&lt;INICIO!$E$32*2,INICIO!$E$33,0))+IF(AM51=0,0,IF(AM51&lt;INICIO!$E$32*2,INICIO!$E$33,0))+IF(AM52=0,0,IF(AM52&lt;INICIO!$E$32*2,INICIO!$E$33,0))+IF(AM53=0,0,IF(AM53&lt;INICIO!$E$32*2,INICIO!$E$33,0))+IF(AM54=0,0,IF(AM54&lt;INICIO!$E$32*2,INICIO!$E$33,0))+IF(AM55=0,0,IF(AM55&lt;INICIO!$E$32*2,INICIO!$E$33,0))+IF(AM56=0,0,IF(AM56&lt;INICIO!$E$32*2,INICIO!$E$33,0))+IF(AM57=0,0,IF(AM57&lt;INICIO!$E$32*2,INICIO!$E$33,0))+IF(AM58=0,0,IF(AM58&lt;INICIO!$E$32*2,INICIO!$E$33,0))</f>
        <v>612000</v>
      </c>
      <c r="AN60" s="37">
        <f>IF(AN43=0,0,IF(AN43&lt;INICIO!$E$32*2,INICIO!$E$33,0))+IF(AN44=0,0,IF(AN44&lt;INICIO!$E$32*2,INICIO!$E$33,0))+IF(AN45=0,0,IF(AN45&lt;INICIO!$E$32*2,INICIO!$E$33,0))+IF(AN46=0,0,IF(AN46&lt;INICIO!$E$32*2,INICIO!$E$33,0))+IF(AN47=0,0,IF(AN47&lt;INICIO!$E$32*2,INICIO!$E$33,0))+IF(AN48=0,0,IF(AN48&lt;INICIO!$E$32*2,INICIO!$E$33,0))+IF(AN49=0,0,IF(AN49&lt;INICIO!$E$32*2,INICIO!$E$33,0))+IF(AN50=0,0,IF(AN50&lt;INICIO!$E$32*2,INICIO!$E$33,0))+IF(AN51=0,0,IF(AN51&lt;INICIO!$E$32*2,INICIO!$E$33,0))+IF(AN52=0,0,IF(AN52&lt;INICIO!$E$32*2,INICIO!$E$33,0))+IF(AN53=0,0,IF(AN53&lt;INICIO!$E$32*2,INICIO!$E$33,0))+IF(AN54=0,0,IF(AN54&lt;INICIO!$E$32*2,INICIO!$E$33,0))+IF(AN55=0,0,IF(AN55&lt;INICIO!$E$32*2,INICIO!$E$33,0))+IF(AN56=0,0,IF(AN56&lt;INICIO!$E$32*2,INICIO!$E$33,0))+IF(AN57=0,0,IF(AN57&lt;INICIO!$E$32*2,INICIO!$E$33,0))+IF(AN58=0,0,IF(AN58&lt;INICIO!$E$32*2,INICIO!$E$33,0))</f>
        <v>612000</v>
      </c>
      <c r="AO60" s="37">
        <f>IF(AO43=0,0,IF(AO43&lt;INICIO!$E$32*2,INICIO!$E$33,0))+IF(AO44=0,0,IF(AO44&lt;INICIO!$E$32*2,INICIO!$E$33,0))+IF(AO45=0,0,IF(AO45&lt;INICIO!$E$32*2,INICIO!$E$33,0))+IF(AO46=0,0,IF(AO46&lt;INICIO!$E$32*2,INICIO!$E$33,0))+IF(AO47=0,0,IF(AO47&lt;INICIO!$E$32*2,INICIO!$E$33,0))+IF(AO48=0,0,IF(AO48&lt;INICIO!$E$32*2,INICIO!$E$33,0))+IF(AO49=0,0,IF(AO49&lt;INICIO!$E$32*2,INICIO!$E$33,0))+IF(AO50=0,0,IF(AO50&lt;INICIO!$E$32*2,INICIO!$E$33,0))+IF(AO51=0,0,IF(AO51&lt;INICIO!$E$32*2,INICIO!$E$33,0))+IF(AO52=0,0,IF(AO52&lt;INICIO!$E$32*2,INICIO!$E$33,0))+IF(AO53=0,0,IF(AO53&lt;INICIO!$E$32*2,INICIO!$E$33,0))+IF(AO54=0,0,IF(AO54&lt;INICIO!$E$32*2,INICIO!$E$33,0))+IF(AO55=0,0,IF(AO55&lt;INICIO!$E$32*2,INICIO!$E$33,0))+IF(AO56=0,0,IF(AO56&lt;INICIO!$E$32*2,INICIO!$E$33,0))+IF(AO57=0,0,IF(AO57&lt;INICIO!$E$32*2,INICIO!$E$33,0))+IF(AO58=0,0,IF(AO58&lt;INICIO!$E$32*2,INICIO!$E$33,0))</f>
        <v>612000</v>
      </c>
      <c r="AP60" s="37">
        <f>IF(AP43=0,0,IF(AP43&lt;INICIO!$E$32*2,INICIO!$E$33,0))+IF(AP44=0,0,IF(AP44&lt;INICIO!$E$32*2,INICIO!$E$33,0))+IF(AP45=0,0,IF(AP45&lt;INICIO!$E$32*2,INICIO!$E$33,0))+IF(AP46=0,0,IF(AP46&lt;INICIO!$E$32*2,INICIO!$E$33,0))+IF(AP47=0,0,IF(AP47&lt;INICIO!$E$32*2,INICIO!$E$33,0))+IF(AP48=0,0,IF(AP48&lt;INICIO!$E$32*2,INICIO!$E$33,0))+IF(AP49=0,0,IF(AP49&lt;INICIO!$E$32*2,INICIO!$E$33,0))+IF(AP50=0,0,IF(AP50&lt;INICIO!$E$32*2,INICIO!$E$33,0))+IF(AP51=0,0,IF(AP51&lt;INICIO!$E$32*2,INICIO!$E$33,0))+IF(AP52=0,0,IF(AP52&lt;INICIO!$E$32*2,INICIO!$E$33,0))+IF(AP53=0,0,IF(AP53&lt;INICIO!$E$32*2,INICIO!$E$33,0))+IF(AP54=0,0,IF(AP54&lt;INICIO!$E$32*2,INICIO!$E$33,0))+IF(AP55=0,0,IF(AP55&lt;INICIO!$E$32*2,INICIO!$E$33,0))+IF(AP56=0,0,IF(AP56&lt;INICIO!$E$32*2,INICIO!$E$33,0))+IF(AP57=0,0,IF(AP57&lt;INICIO!$E$32*2,INICIO!$E$33,0))+IF(AP58=0,0,IF(AP58&lt;INICIO!$E$32*2,INICIO!$E$33,0))</f>
        <v>612000</v>
      </c>
      <c r="AQ60" s="37">
        <f>IF(AQ43=0,0,IF(AQ43&lt;INICIO!$E$32*2,INICIO!$E$33,0))+IF(AQ44=0,0,IF(AQ44&lt;INICIO!$E$32*2,INICIO!$E$33,0))+IF(AQ45=0,0,IF(AQ45&lt;INICIO!$E$32*2,INICIO!$E$33,0))+IF(AQ46=0,0,IF(AQ46&lt;INICIO!$E$32*2,INICIO!$E$33,0))+IF(AQ47=0,0,IF(AQ47&lt;INICIO!$E$32*2,INICIO!$E$33,0))+IF(AQ48=0,0,IF(AQ48&lt;INICIO!$E$32*2,INICIO!$E$33,0))+IF(AQ49=0,0,IF(AQ49&lt;INICIO!$E$32*2,INICIO!$E$33,0))+IF(AQ50=0,0,IF(AQ50&lt;INICIO!$E$32*2,INICIO!$E$33,0))+IF(AQ51=0,0,IF(AQ51&lt;INICIO!$E$32*2,INICIO!$E$33,0))+IF(AQ52=0,0,IF(AQ52&lt;INICIO!$E$32*2,INICIO!$E$33,0))+IF(AQ53=0,0,IF(AQ53&lt;INICIO!$E$32*2,INICIO!$E$33,0))+IF(AQ54=0,0,IF(AQ54&lt;INICIO!$E$32*2,INICIO!$E$33,0))+IF(AQ55=0,0,IF(AQ55&lt;INICIO!$E$32*2,INICIO!$E$33,0))+IF(AQ56=0,0,IF(AQ56&lt;INICIO!$E$32*2,INICIO!$E$33,0))+IF(AQ57=0,0,IF(AQ57&lt;INICIO!$E$32*2,INICIO!$E$33,0))+IF(AQ58=0,0,IF(AQ58&lt;INICIO!$E$32*2,INICIO!$E$33,0))</f>
        <v>612000</v>
      </c>
      <c r="AR60" s="37">
        <f>IF(AR43=0,0,IF(AR43&lt;INICIO!$E$32*2,INICIO!$E$33,0))+IF(AR44=0,0,IF(AR44&lt;INICIO!$E$32*2,INICIO!$E$33,0))+IF(AR45=0,0,IF(AR45&lt;INICIO!$E$32*2,INICIO!$E$33,0))+IF(AR46=0,0,IF(AR46&lt;INICIO!$E$32*2,INICIO!$E$33,0))+IF(AR47=0,0,IF(AR47&lt;INICIO!$E$32*2,INICIO!$E$33,0))+IF(AR48=0,0,IF(AR48&lt;INICIO!$E$32*2,INICIO!$E$33,0))+IF(AR49=0,0,IF(AR49&lt;INICIO!$E$32*2,INICIO!$E$33,0))+IF(AR50=0,0,IF(AR50&lt;INICIO!$E$32*2,INICIO!$E$33,0))+IF(AR51=0,0,IF(AR51&lt;INICIO!$E$32*2,INICIO!$E$33,0))+IF(AR52=0,0,IF(AR52&lt;INICIO!$E$32*2,INICIO!$E$33,0))+IF(AR53=0,0,IF(AR53&lt;INICIO!$E$32*2,INICIO!$E$33,0))+IF(AR54=0,0,IF(AR54&lt;INICIO!$E$32*2,INICIO!$E$33,0))+IF(AR55=0,0,IF(AR55&lt;INICIO!$E$32*2,INICIO!$E$33,0))+IF(AR56=0,0,IF(AR56&lt;INICIO!$E$32*2,INICIO!$E$33,0))+IF(AR57=0,0,IF(AR57&lt;INICIO!$E$32*2,INICIO!$E$33,0))+IF(AR58=0,0,IF(AR58&lt;INICIO!$E$32*2,INICIO!$E$33,0))</f>
        <v>612000</v>
      </c>
      <c r="AS60" s="37">
        <f>IF(AS43=0,0,IF(AS43&lt;INICIO!$E$32*2,INICIO!$E$33,0))+IF(AS44=0,0,IF(AS44&lt;INICIO!$E$32*2,INICIO!$E$33,0))+IF(AS45=0,0,IF(AS45&lt;INICIO!$E$32*2,INICIO!$E$33,0))+IF(AS46=0,0,IF(AS46&lt;INICIO!$E$32*2,INICIO!$E$33,0))+IF(AS47=0,0,IF(AS47&lt;INICIO!$E$32*2,INICIO!$E$33,0))+IF(AS48=0,0,IF(AS48&lt;INICIO!$E$32*2,INICIO!$E$33,0))+IF(AS49=0,0,IF(AS49&lt;INICIO!$E$32*2,INICIO!$E$33,0))+IF(AS50=0,0,IF(AS50&lt;INICIO!$E$32*2,INICIO!$E$33,0))+IF(AS51=0,0,IF(AS51&lt;INICIO!$E$32*2,INICIO!$E$33,0))+IF(AS52=0,0,IF(AS52&lt;INICIO!$E$32*2,INICIO!$E$33,0))+IF(AS53=0,0,IF(AS53&lt;INICIO!$E$32*2,INICIO!$E$33,0))+IF(AS54=0,0,IF(AS54&lt;INICIO!$E$32*2,INICIO!$E$33,0))+IF(AS55=0,0,IF(AS55&lt;INICIO!$E$32*2,INICIO!$E$33,0))+IF(AS56=0,0,IF(AS56&lt;INICIO!$E$32*2,INICIO!$E$33,0))+IF(AS57=0,0,IF(AS57&lt;INICIO!$E$32*2,INICIO!$E$33,0))+IF(AS58=0,0,IF(AS58&lt;INICIO!$E$32*2,INICIO!$E$33,0))</f>
        <v>612000</v>
      </c>
      <c r="AT60" s="37">
        <f>IF(AT43=0,0,IF(AT43&lt;INICIO!$E$32*2,INICIO!$E$33,0))+IF(AT44=0,0,IF(AT44&lt;INICIO!$E$32*2,INICIO!$E$33,0))+IF(AT45=0,0,IF(AT45&lt;INICIO!$E$32*2,INICIO!$E$33,0))+IF(AT46=0,0,IF(AT46&lt;INICIO!$E$32*2,INICIO!$E$33,0))+IF(AT47=0,0,IF(AT47&lt;INICIO!$E$32*2,INICIO!$E$33,0))+IF(AT48=0,0,IF(AT48&lt;INICIO!$E$32*2,INICIO!$E$33,0))+IF(AT49=0,0,IF(AT49&lt;INICIO!$E$32*2,INICIO!$E$33,0))+IF(AT50=0,0,IF(AT50&lt;INICIO!$E$32*2,INICIO!$E$33,0))+IF(AT51=0,0,IF(AT51&lt;INICIO!$E$32*2,INICIO!$E$33,0))+IF(AT52=0,0,IF(AT52&lt;INICIO!$E$32*2,INICIO!$E$33,0))+IF(AT53=0,0,IF(AT53&lt;INICIO!$E$32*2,INICIO!$E$33,0))+IF(AT54=0,0,IF(AT54&lt;INICIO!$E$32*2,INICIO!$E$33,0))+IF(AT55=0,0,IF(AT55&lt;INICIO!$E$32*2,INICIO!$E$33,0))+IF(AT56=0,0,IF(AT56&lt;INICIO!$E$32*2,INICIO!$E$33,0))+IF(AT57=0,0,IF(AT57&lt;INICIO!$E$32*2,INICIO!$E$33,0))+IF(AT58=0,0,IF(AT58&lt;INICIO!$E$32*2,INICIO!$E$33,0))</f>
        <v>612000</v>
      </c>
      <c r="AU60" s="37">
        <f>IF(AU43=0,0,IF(AU43&lt;INICIO!$E$32*2,INICIO!$E$33,0))+IF(AU44=0,0,IF(AU44&lt;INICIO!$E$32*2,INICIO!$E$33,0))+IF(AU45=0,0,IF(AU45&lt;INICIO!$E$32*2,INICIO!$E$33,0))+IF(AU46=0,0,IF(AU46&lt;INICIO!$E$32*2,INICIO!$E$33,0))+IF(AU47=0,0,IF(AU47&lt;INICIO!$E$32*2,INICIO!$E$33,0))+IF(AU48=0,0,IF(AU48&lt;INICIO!$E$32*2,INICIO!$E$33,0))+IF(AU49=0,0,IF(AU49&lt;INICIO!$E$32*2,INICIO!$E$33,0))+IF(AU50=0,0,IF(AU50&lt;INICIO!$E$32*2,INICIO!$E$33,0))+IF(AU51=0,0,IF(AU51&lt;INICIO!$E$32*2,INICIO!$E$33,0))+IF(AU52=0,0,IF(AU52&lt;INICIO!$E$32*2,INICIO!$E$33,0))+IF(AU53=0,0,IF(AU53&lt;INICIO!$E$32*2,INICIO!$E$33,0))+IF(AU54=0,0,IF(AU54&lt;INICIO!$E$32*2,INICIO!$E$33,0))+IF(AU55=0,0,IF(AU55&lt;INICIO!$E$32*2,INICIO!$E$33,0))+IF(AU56=0,0,IF(AU56&lt;INICIO!$E$32*2,INICIO!$E$33,0))+IF(AU57=0,0,IF(AU57&lt;INICIO!$E$32*2,INICIO!$E$33,0))+IF(AU58=0,0,IF(AU58&lt;INICIO!$E$32*2,INICIO!$E$33,0))</f>
        <v>612000</v>
      </c>
      <c r="AV60" s="37">
        <f>IF(AV43=0,0,IF(AV43&lt;INICIO!$E$32*2,INICIO!$E$33,0))+IF(AV44=0,0,IF(AV44&lt;INICIO!$E$32*2,INICIO!$E$33,0))+IF(AV45=0,0,IF(AV45&lt;INICIO!$E$32*2,INICIO!$E$33,0))+IF(AV46=0,0,IF(AV46&lt;INICIO!$E$32*2,INICIO!$E$33,0))+IF(AV47=0,0,IF(AV47&lt;INICIO!$E$32*2,INICIO!$E$33,0))+IF(AV48=0,0,IF(AV48&lt;INICIO!$E$32*2,INICIO!$E$33,0))+IF(AV49=0,0,IF(AV49&lt;INICIO!$E$32*2,INICIO!$E$33,0))+IF(AV50=0,0,IF(AV50&lt;INICIO!$E$32*2,INICIO!$E$33,0))+IF(AV51=0,0,IF(AV51&lt;INICIO!$E$32*2,INICIO!$E$33,0))+IF(AV52=0,0,IF(AV52&lt;INICIO!$E$32*2,INICIO!$E$33,0))+IF(AV53=0,0,IF(AV53&lt;INICIO!$E$32*2,INICIO!$E$33,0))+IF(AV54=0,0,IF(AV54&lt;INICIO!$E$32*2,INICIO!$E$33,0))+IF(AV55=0,0,IF(AV55&lt;INICIO!$E$32*2,INICIO!$E$33,0))+IF(AV56=0,0,IF(AV56&lt;INICIO!$E$32*2,INICIO!$E$33,0))+IF(AV57=0,0,IF(AV57&lt;INICIO!$E$32*2,INICIO!$E$33,0))+IF(AV58=0,0,IF(AV58&lt;INICIO!$E$32*2,INICIO!$E$33,0))</f>
        <v>612000</v>
      </c>
      <c r="AW60" s="37">
        <f>IF(AW43=0,0,IF(AW43&lt;INICIO!$E$32*2,INICIO!$E$33,0))+IF(AW44=0,0,IF(AW44&lt;INICIO!$E$32*2,INICIO!$E$33,0))+IF(AW45=0,0,IF(AW45&lt;INICIO!$E$32*2,INICIO!$E$33,0))+IF(AW46=0,0,IF(AW46&lt;INICIO!$E$32*2,INICIO!$E$33,0))+IF(AW47=0,0,IF(AW47&lt;INICIO!$E$32*2,INICIO!$E$33,0))+IF(AW48=0,0,IF(AW48&lt;INICIO!$E$32*2,INICIO!$E$33,0))+IF(AW49=0,0,IF(AW49&lt;INICIO!$E$32*2,INICIO!$E$33,0))+IF(AW50=0,0,IF(AW50&lt;INICIO!$E$32*2,INICIO!$E$33,0))+IF(AW51=0,0,IF(AW51&lt;INICIO!$E$32*2,INICIO!$E$33,0))+IF(AW52=0,0,IF(AW52&lt;INICIO!$E$32*2,INICIO!$E$33,0))+IF(AW53=0,0,IF(AW53&lt;INICIO!$E$32*2,INICIO!$E$33,0))+IF(AW54=0,0,IF(AW54&lt;INICIO!$E$32*2,INICIO!$E$33,0))+IF(AW55=0,0,IF(AW55&lt;INICIO!$E$32*2,INICIO!$E$33,0))+IF(AW56=0,0,IF(AW56&lt;INICIO!$E$32*2,INICIO!$E$33,0))+IF(AW57=0,0,IF(AW57&lt;INICIO!$E$32*2,INICIO!$E$33,0))+IF(AW58=0,0,IF(AW58&lt;INICIO!$E$32*2,INICIO!$E$33,0))</f>
        <v>612000</v>
      </c>
      <c r="AX60" s="37">
        <f>IF(AX43=0,0,IF(AX43&lt;INICIO!$F$32*2,INICIO!$F$33,0))+IF(AX44=0,0,IF(AX44&lt;INICIO!$F$32*2,INICIO!$F$33,0))+IF(AX45=0,0,IF(AX45&lt;INICIO!$F$32*2,INICIO!$F$33,0))+IF(AX46=0,0,IF(AX46&lt;INICIO!$F$32*2,INICIO!$F$33,0))+IF(AX47=0,0,IF(AX47&lt;INICIO!$F$32*2,INICIO!$F$33,0))+IF(AX48=0,0,IF(AX48&lt;INICIO!$F$32*2,INICIO!$F$33,0))+IF(AX49=0,0,IF(AX49&lt;INICIO!$F$32*2,INICIO!$F$33,0))+IF(AX50=0,0,IF(AX50&lt;INICIO!$F$32*2,INICIO!$F$33,0))+IF(AX51=0,0,IF(AX51&lt;INICIO!$F$32*2,INICIO!$F$33,0))+IF(AX52=0,0,IF(AX52&lt;INICIO!$F$32*2,INICIO!$F$33,0))+IF(AX53=0,0,IF(AX53&lt;INICIO!$F$32*2,INICIO!$F$33,0))+IF(AX54=0,0,IF(AX54&lt;INICIO!$F$32*2,INICIO!$F$33,0))+IF(AX55=0,0,IF(AX55&lt;INICIO!$F$32*2,INICIO!$F$33,0))+IF(AX56=0,0,IF(AX56&lt;INICIO!$F$32*2,INICIO!$F$33,0))+IF(AX57=0,0,IF(AX57&lt;INICIO!$F$32*2,INICIO!$F$33,0))+IF(AX58=0,0,IF(AX58&lt;INICIO!$F$32*2,INICIO!$F$33,0))</f>
        <v>636000</v>
      </c>
      <c r="AY60" s="37">
        <f>IF(AY43=0,0,IF(AY43&lt;INICIO!$F$32*2,INICIO!$F$33,0))+IF(AY44=0,0,IF(AY44&lt;INICIO!$F$32*2,INICIO!$F$33,0))+IF(AY45=0,0,IF(AY45&lt;INICIO!$F$32*2,INICIO!$F$33,0))+IF(AY46=0,0,IF(AY46&lt;INICIO!$F$32*2,INICIO!$F$33,0))+IF(AY47=0,0,IF(AY47&lt;INICIO!$F$32*2,INICIO!$F$33,0))+IF(AY48=0,0,IF(AY48&lt;INICIO!$F$32*2,INICIO!$F$33,0))+IF(AY49=0,0,IF(AY49&lt;INICIO!$F$32*2,INICIO!$F$33,0))+IF(AY50=0,0,IF(AY50&lt;INICIO!$F$32*2,INICIO!$F$33,0))+IF(AY51=0,0,IF(AY51&lt;INICIO!$F$32*2,INICIO!$F$33,0))+IF(AY52=0,0,IF(AY52&lt;INICIO!$F$32*2,INICIO!$F$33,0))+IF(AY53=0,0,IF(AY53&lt;INICIO!$F$32*2,INICIO!$F$33,0))+IF(AY54=0,0,IF(AY54&lt;INICIO!$F$32*2,INICIO!$F$33,0))+IF(AY55=0,0,IF(AY55&lt;INICIO!$F$32*2,INICIO!$F$33,0))+IF(AY56=0,0,IF(AY56&lt;INICIO!$F$32*2,INICIO!$F$33,0))+IF(AY57=0,0,IF(AY57&lt;INICIO!$F$32*2,INICIO!$F$33,0))+IF(AY58=0,0,IF(AY58&lt;INICIO!$F$32*2,INICIO!$F$33,0))</f>
        <v>0</v>
      </c>
      <c r="AZ60" s="37">
        <f>IF(AZ43=0,0,IF(AZ43&lt;INICIO!$F$32*2,INICIO!$F$33,0))+IF(AZ44=0,0,IF(AZ44&lt;INICIO!$F$32*2,INICIO!$F$33,0))+IF(AZ45=0,0,IF(AZ45&lt;INICIO!$F$32*2,INICIO!$F$33,0))+IF(AZ46=0,0,IF(AZ46&lt;INICIO!$F$32*2,INICIO!$F$33,0))+IF(AZ47=0,0,IF(AZ47&lt;INICIO!$F$32*2,INICIO!$F$33,0))+IF(AZ48=0,0,IF(AZ48&lt;INICIO!$F$32*2,INICIO!$F$33,0))+IF(AZ49=0,0,IF(AZ49&lt;INICIO!$F$32*2,INICIO!$F$33,0))+IF(AZ50=0,0,IF(AZ50&lt;INICIO!$F$32*2,INICIO!$F$33,0))+IF(AZ51=0,0,IF(AZ51&lt;INICIO!$F$32*2,INICIO!$F$33,0))+IF(AZ52=0,0,IF(AZ52&lt;INICIO!$F$32*2,INICIO!$F$33,0))+IF(AZ53=0,0,IF(AZ53&lt;INICIO!$F$32*2,INICIO!$F$33,0))+IF(AZ54=0,0,IF(AZ54&lt;INICIO!$F$32*2,INICIO!$F$33,0))+IF(AZ55=0,0,IF(AZ55&lt;INICIO!$F$32*2,INICIO!$F$33,0))+IF(AZ56=0,0,IF(AZ56&lt;INICIO!$F$32*2,INICIO!$F$33,0))+IF(AZ57=0,0,IF(AZ57&lt;INICIO!$F$32*2,INICIO!$F$33,0))+IF(AZ58=0,0,IF(AZ58&lt;INICIO!$F$32*2,INICIO!$F$33,0))</f>
        <v>0</v>
      </c>
      <c r="BA60" s="37">
        <f>IF(BA43=0,0,IF(BA43&lt;INICIO!$F$32*2,INICIO!$F$33,0))+IF(BA44=0,0,IF(BA44&lt;INICIO!$F$32*2,INICIO!$F$33,0))+IF(BA45=0,0,IF(BA45&lt;INICIO!$F$32*2,INICIO!$F$33,0))+IF(BA46=0,0,IF(BA46&lt;INICIO!$F$32*2,INICIO!$F$33,0))+IF(BA47=0,0,IF(BA47&lt;INICIO!$F$32*2,INICIO!$F$33,0))+IF(BA48=0,0,IF(BA48&lt;INICIO!$F$32*2,INICIO!$F$33,0))+IF(BA49=0,0,IF(BA49&lt;INICIO!$F$32*2,INICIO!$F$33,0))+IF(BA50=0,0,IF(BA50&lt;INICIO!$F$32*2,INICIO!$F$33,0))+IF(BA51=0,0,IF(BA51&lt;INICIO!$F$32*2,INICIO!$F$33,0))+IF(BA52=0,0,IF(BA52&lt;INICIO!$F$32*2,INICIO!$F$33,0))+IF(BA53=0,0,IF(BA53&lt;INICIO!$F$32*2,INICIO!$F$33,0))+IF(BA54=0,0,IF(BA54&lt;INICIO!$F$32*2,INICIO!$F$33,0))+IF(BA55=0,0,IF(BA55&lt;INICIO!$F$32*2,INICIO!$F$33,0))+IF(BA56=0,0,IF(BA56&lt;INICIO!$F$32*2,INICIO!$F$33,0))+IF(BA57=0,0,IF(BA57&lt;INICIO!$F$32*2,INICIO!$F$33,0))+IF(BA58=0,0,IF(BA58&lt;INICIO!$F$32*2,INICIO!$F$33,0))</f>
        <v>0</v>
      </c>
      <c r="BB60" s="37">
        <f>IF(BB43=0,0,IF(BB43&lt;INICIO!$F$32*2,INICIO!$F$33,0))+IF(BB44=0,0,IF(BB44&lt;INICIO!$F$32*2,INICIO!$F$33,0))+IF(BB45=0,0,IF(BB45&lt;INICIO!$F$32*2,INICIO!$F$33,0))+IF(BB46=0,0,IF(BB46&lt;INICIO!$F$32*2,INICIO!$F$33,0))+IF(BB47=0,0,IF(BB47&lt;INICIO!$F$32*2,INICIO!$F$33,0))+IF(BB48=0,0,IF(BB48&lt;INICIO!$F$32*2,INICIO!$F$33,0))+IF(BB49=0,0,IF(BB49&lt;INICIO!$F$32*2,INICIO!$F$33,0))+IF(BB50=0,0,IF(BB50&lt;INICIO!$F$32*2,INICIO!$F$33,0))+IF(BB51=0,0,IF(BB51&lt;INICIO!$F$32*2,INICIO!$F$33,0))+IF(BB52=0,0,IF(BB52&lt;INICIO!$F$32*2,INICIO!$F$33,0))+IF(BB53=0,0,IF(BB53&lt;INICIO!$F$32*2,INICIO!$F$33,0))+IF(BB54=0,0,IF(BB54&lt;INICIO!$F$32*2,INICIO!$F$33,0))+IF(BB55=0,0,IF(BB55&lt;INICIO!$F$32*2,INICIO!$F$33,0))+IF(BB56=0,0,IF(BB56&lt;INICIO!$F$32*2,INICIO!$F$33,0))+IF(BB57=0,0,IF(BB57&lt;INICIO!$F$32*2,INICIO!$F$33,0))+IF(BB58=0,0,IF(BB58&lt;INICIO!$F$32*2,INICIO!$F$33,0))</f>
        <v>0</v>
      </c>
      <c r="BC60" s="37">
        <f>IF(BC43=0,0,IF(BC43&lt;INICIO!$F$32*2,INICIO!$F$33,0))+IF(BC44=0,0,IF(BC44&lt;INICIO!$F$32*2,INICIO!$F$33,0))+IF(BC45=0,0,IF(BC45&lt;INICIO!$F$32*2,INICIO!$F$33,0))+IF(BC46=0,0,IF(BC46&lt;INICIO!$F$32*2,INICIO!$F$33,0))+IF(BC47=0,0,IF(BC47&lt;INICIO!$F$32*2,INICIO!$F$33,0))+IF(BC48=0,0,IF(BC48&lt;INICIO!$F$32*2,INICIO!$F$33,0))+IF(BC49=0,0,IF(BC49&lt;INICIO!$F$32*2,INICIO!$F$33,0))+IF(BC50=0,0,IF(BC50&lt;INICIO!$F$32*2,INICIO!$F$33,0))+IF(BC51=0,0,IF(BC51&lt;INICIO!$F$32*2,INICIO!$F$33,0))+IF(BC52=0,0,IF(BC52&lt;INICIO!$F$32*2,INICIO!$F$33,0))+IF(BC53=0,0,IF(BC53&lt;INICIO!$F$32*2,INICIO!$F$33,0))+IF(BC54=0,0,IF(BC54&lt;INICIO!$F$32*2,INICIO!$F$33,0))+IF(BC55=0,0,IF(BC55&lt;INICIO!$F$32*2,INICIO!$F$33,0))+IF(BC56=0,0,IF(BC56&lt;INICIO!$F$32*2,INICIO!$F$33,0))+IF(BC57=0,0,IF(BC57&lt;INICIO!$F$32*2,INICIO!$F$33,0))+IF(BC58=0,0,IF(BC58&lt;INICIO!$F$32*2,INICIO!$F$33,0))</f>
        <v>0</v>
      </c>
      <c r="BD60" s="37">
        <f>IF(BD43=0,0,IF(BD43&lt;INICIO!$F$32*2,INICIO!$F$33,0))+IF(BD44=0,0,IF(BD44&lt;INICIO!$F$32*2,INICIO!$F$33,0))+IF(BD45=0,0,IF(BD45&lt;INICIO!$F$32*2,INICIO!$F$33,0))+IF(BD46=0,0,IF(BD46&lt;INICIO!$F$32*2,INICIO!$F$33,0))+IF(BD47=0,0,IF(BD47&lt;INICIO!$F$32*2,INICIO!$F$33,0))+IF(BD48=0,0,IF(BD48&lt;INICIO!$F$32*2,INICIO!$F$33,0))+IF(BD49=0,0,IF(BD49&lt;INICIO!$F$32*2,INICIO!$F$33,0))+IF(BD50=0,0,IF(BD50&lt;INICIO!$F$32*2,INICIO!$F$33,0))+IF(BD51=0,0,IF(BD51&lt;INICIO!$F$32*2,INICIO!$F$33,0))+IF(BD52=0,0,IF(BD52&lt;INICIO!$F$32*2,INICIO!$F$33,0))+IF(BD53=0,0,IF(BD53&lt;INICIO!$F$32*2,INICIO!$F$33,0))+IF(BD54=0,0,IF(BD54&lt;INICIO!$F$32*2,INICIO!$F$33,0))+IF(BD55=0,0,IF(BD55&lt;INICIO!$F$32*2,INICIO!$F$33,0))+IF(BD56=0,0,IF(BD56&lt;INICIO!$F$32*2,INICIO!$F$33,0))+IF(BD57=0,0,IF(BD57&lt;INICIO!$F$32*2,INICIO!$F$33,0))+IF(BD58=0,0,IF(BD58&lt;INICIO!$F$32*2,INICIO!$F$33,0))</f>
        <v>0</v>
      </c>
      <c r="BE60" s="37">
        <f>IF(BE43=0,0,IF(BE43&lt;INICIO!$F$32*2,INICIO!$F$33,0))+IF(BE44=0,0,IF(BE44&lt;INICIO!$F$32*2,INICIO!$F$33,0))+IF(BE45=0,0,IF(BE45&lt;INICIO!$F$32*2,INICIO!$F$33,0))+IF(BE46=0,0,IF(BE46&lt;INICIO!$F$32*2,INICIO!$F$33,0))+IF(BE47=0,0,IF(BE47&lt;INICIO!$F$32*2,INICIO!$F$33,0))+IF(BE48=0,0,IF(BE48&lt;INICIO!$F$32*2,INICIO!$F$33,0))+IF(BE49=0,0,IF(BE49&lt;INICIO!$F$32*2,INICIO!$F$33,0))+IF(BE50=0,0,IF(BE50&lt;INICIO!$F$32*2,INICIO!$F$33,0))+IF(BE51=0,0,IF(BE51&lt;INICIO!$F$32*2,INICIO!$F$33,0))+IF(BE52=0,0,IF(BE52&lt;INICIO!$F$32*2,INICIO!$F$33,0))+IF(BE53=0,0,IF(BE53&lt;INICIO!$F$32*2,INICIO!$F$33,0))+IF(BE54=0,0,IF(BE54&lt;INICIO!$F$32*2,INICIO!$F$33,0))+IF(BE55=0,0,IF(BE55&lt;INICIO!$F$32*2,INICIO!$F$33,0))+IF(BE56=0,0,IF(BE56&lt;INICIO!$F$32*2,INICIO!$F$33,0))+IF(BE57=0,0,IF(BE57&lt;INICIO!$F$32*2,INICIO!$F$33,0))+IF(BE58=0,0,IF(BE58&lt;INICIO!$F$32*2,INICIO!$F$33,0))</f>
        <v>0</v>
      </c>
      <c r="BF60" s="37">
        <f>IF(BF43=0,0,IF(BF43&lt;INICIO!$F$32*2,INICIO!$F$33,0))+IF(BF44=0,0,IF(BF44&lt;INICIO!$F$32*2,INICIO!$F$33,0))+IF(BF45=0,0,IF(BF45&lt;INICIO!$F$32*2,INICIO!$F$33,0))+IF(BF46=0,0,IF(BF46&lt;INICIO!$F$32*2,INICIO!$F$33,0))+IF(BF47=0,0,IF(BF47&lt;INICIO!$F$32*2,INICIO!$F$33,0))+IF(BF48=0,0,IF(BF48&lt;INICIO!$F$32*2,INICIO!$F$33,0))+IF(BF49=0,0,IF(BF49&lt;INICIO!$F$32*2,INICIO!$F$33,0))+IF(BF50=0,0,IF(BF50&lt;INICIO!$F$32*2,INICIO!$F$33,0))+IF(BF51=0,0,IF(BF51&lt;INICIO!$F$32*2,INICIO!$F$33,0))+IF(BF52=0,0,IF(BF52&lt;INICIO!$F$32*2,INICIO!$F$33,0))+IF(BF53=0,0,IF(BF53&lt;INICIO!$F$32*2,INICIO!$F$33,0))+IF(BF54=0,0,IF(BF54&lt;INICIO!$F$32*2,INICIO!$F$33,0))+IF(BF55=0,0,IF(BF55&lt;INICIO!$F$32*2,INICIO!$F$33,0))+IF(BF56=0,0,IF(BF56&lt;INICIO!$F$32*2,INICIO!$F$33,0))+IF(BF57=0,0,IF(BF57&lt;INICIO!$F$32*2,INICIO!$F$33,0))+IF(BF58=0,0,IF(BF58&lt;INICIO!$F$32*2,INICIO!$F$33,0))</f>
        <v>0</v>
      </c>
      <c r="BG60" s="37">
        <f>IF(BG43=0,0,IF(BG43&lt;INICIO!$F$32*2,INICIO!$F$33,0))+IF(BG44=0,0,IF(BG44&lt;INICIO!$F$32*2,INICIO!$F$33,0))+IF(BG45=0,0,IF(BG45&lt;INICIO!$F$32*2,INICIO!$F$33,0))+IF(BG46=0,0,IF(BG46&lt;INICIO!$F$32*2,INICIO!$F$33,0))+IF(BG47=0,0,IF(BG47&lt;INICIO!$F$32*2,INICIO!$F$33,0))+IF(BG48=0,0,IF(BG48&lt;INICIO!$F$32*2,INICIO!$F$33,0))+IF(BG49=0,0,IF(BG49&lt;INICIO!$F$32*2,INICIO!$F$33,0))+IF(BG50=0,0,IF(BG50&lt;INICIO!$F$32*2,INICIO!$F$33,0))+IF(BG51=0,0,IF(BG51&lt;INICIO!$F$32*2,INICIO!$F$33,0))+IF(BG52=0,0,IF(BG52&lt;INICIO!$F$32*2,INICIO!$F$33,0))+IF(BG53=0,0,IF(BG53&lt;INICIO!$F$32*2,INICIO!$F$33,0))+IF(BG54=0,0,IF(BG54&lt;INICIO!$F$32*2,INICIO!$F$33,0))+IF(BG55=0,0,IF(BG55&lt;INICIO!$F$32*2,INICIO!$F$33,0))+IF(BG56=0,0,IF(BG56&lt;INICIO!$F$32*2,INICIO!$F$33,0))+IF(BG57=0,0,IF(BG57&lt;INICIO!$F$32*2,INICIO!$F$33,0))+IF(BG58=0,0,IF(BG58&lt;INICIO!$F$32*2,INICIO!$F$33,0))</f>
        <v>0</v>
      </c>
      <c r="BH60" s="37">
        <f>IF(BH43=0,0,IF(BH43&lt;INICIO!$F$32*2,INICIO!$F$33,0))+IF(BH44=0,0,IF(BH44&lt;INICIO!$F$32*2,INICIO!$F$33,0))+IF(BH45=0,0,IF(BH45&lt;INICIO!$F$32*2,INICIO!$F$33,0))+IF(BH46=0,0,IF(BH46&lt;INICIO!$F$32*2,INICIO!$F$33,0))+IF(BH47=0,0,IF(BH47&lt;INICIO!$F$32*2,INICIO!$F$33,0))+IF(BH48=0,0,IF(BH48&lt;INICIO!$F$32*2,INICIO!$F$33,0))+IF(BH49=0,0,IF(BH49&lt;INICIO!$F$32*2,INICIO!$F$33,0))+IF(BH50=0,0,IF(BH50&lt;INICIO!$F$32*2,INICIO!$F$33,0))+IF(BH51=0,0,IF(BH51&lt;INICIO!$F$32*2,INICIO!$F$33,0))+IF(BH52=0,0,IF(BH52&lt;INICIO!$F$32*2,INICIO!$F$33,0))+IF(BH53=0,0,IF(BH53&lt;INICIO!$F$32*2,INICIO!$F$33,0))+IF(BH54=0,0,IF(BH54&lt;INICIO!$F$32*2,INICIO!$F$33,0))+IF(BH55=0,0,IF(BH55&lt;INICIO!$F$32*2,INICIO!$F$33,0))+IF(BH56=0,0,IF(BH56&lt;INICIO!$F$32*2,INICIO!$F$33,0))+IF(BH57=0,0,IF(BH57&lt;INICIO!$F$32*2,INICIO!$F$33,0))+IF(BH58=0,0,IF(BH58&lt;INICIO!$F$32*2,INICIO!$F$33,0))</f>
        <v>0</v>
      </c>
      <c r="BI60" s="37">
        <f>IF(BI43=0,0,IF(BI43&lt;INICIO!$F$32*2,INICIO!$F$33,0))+IF(BI44=0,0,IF(BI44&lt;INICIO!$F$32*2,INICIO!$F$33,0))+IF(BI45=0,0,IF(BI45&lt;INICIO!$F$32*2,INICIO!$F$33,0))+IF(BI46=0,0,IF(BI46&lt;INICIO!$F$32*2,INICIO!$F$33,0))+IF(BI47=0,0,IF(BI47&lt;INICIO!$F$32*2,INICIO!$F$33,0))+IF(BI48=0,0,IF(BI48&lt;INICIO!$F$32*2,INICIO!$F$33,0))+IF(BI49=0,0,IF(BI49&lt;INICIO!$F$32*2,INICIO!$F$33,0))+IF(BI50=0,0,IF(BI50&lt;INICIO!$F$32*2,INICIO!$F$33,0))+IF(BI51=0,0,IF(BI51&lt;INICIO!$F$32*2,INICIO!$F$33,0))+IF(BI52=0,0,IF(BI52&lt;INICIO!$F$32*2,INICIO!$F$33,0))+IF(BI53=0,0,IF(BI53&lt;INICIO!$F$32*2,INICIO!$F$33,0))+IF(BI54=0,0,IF(BI54&lt;INICIO!$F$32*2,INICIO!$F$33,0))+IF(BI55=0,0,IF(BI55&lt;INICIO!$F$32*2,INICIO!$F$33,0))+IF(BI56=0,0,IF(BI56&lt;INICIO!$F$32*2,INICIO!$F$33,0))+IF(BI57=0,0,IF(BI57&lt;INICIO!$F$32*2,INICIO!$F$33,0))+IF(BI58=0,0,IF(BI58&lt;INICIO!$F$32*2,INICIO!$F$33,0))</f>
        <v>0</v>
      </c>
    </row>
    <row r="61" spans="1:61" x14ac:dyDescent="0.3">
      <c r="A61" s="2" t="s">
        <v>145</v>
      </c>
      <c r="B61" s="7">
        <f>B59*0.522%</f>
        <v>0</v>
      </c>
      <c r="C61" s="7">
        <f t="shared" ref="C61:BI61" si="7">C59*0.522%</f>
        <v>0</v>
      </c>
      <c r="D61" s="7">
        <f t="shared" si="7"/>
        <v>0</v>
      </c>
      <c r="E61" s="7">
        <f t="shared" si="7"/>
        <v>0</v>
      </c>
      <c r="F61" s="7">
        <f t="shared" si="7"/>
        <v>0</v>
      </c>
      <c r="G61" s="7">
        <f t="shared" si="7"/>
        <v>0</v>
      </c>
      <c r="H61" s="7">
        <f t="shared" si="7"/>
        <v>0</v>
      </c>
      <c r="I61" s="7">
        <f t="shared" si="7"/>
        <v>0</v>
      </c>
      <c r="J61" s="7">
        <f t="shared" si="7"/>
        <v>0</v>
      </c>
      <c r="K61" s="7">
        <f t="shared" si="7"/>
        <v>0</v>
      </c>
      <c r="L61" s="7">
        <f t="shared" si="7"/>
        <v>0</v>
      </c>
      <c r="M61" s="7">
        <f t="shared" si="7"/>
        <v>0</v>
      </c>
      <c r="N61" s="7">
        <f t="shared" si="7"/>
        <v>13050</v>
      </c>
      <c r="O61" s="7">
        <f t="shared" si="7"/>
        <v>13050</v>
      </c>
      <c r="P61" s="7">
        <f t="shared" si="7"/>
        <v>13050</v>
      </c>
      <c r="Q61" s="7">
        <f t="shared" si="7"/>
        <v>13050</v>
      </c>
      <c r="R61" s="7">
        <f t="shared" si="7"/>
        <v>13050</v>
      </c>
      <c r="S61" s="7">
        <f t="shared" si="7"/>
        <v>13050</v>
      </c>
      <c r="T61" s="7">
        <f t="shared" si="7"/>
        <v>13050</v>
      </c>
      <c r="U61" s="7">
        <f t="shared" si="7"/>
        <v>13050</v>
      </c>
      <c r="V61" s="7">
        <f t="shared" si="7"/>
        <v>13050</v>
      </c>
      <c r="W61" s="7">
        <f t="shared" si="7"/>
        <v>13050</v>
      </c>
      <c r="X61" s="7">
        <f t="shared" si="7"/>
        <v>13050</v>
      </c>
      <c r="Y61" s="7">
        <f t="shared" si="7"/>
        <v>13050</v>
      </c>
      <c r="Z61" s="7">
        <f t="shared" si="7"/>
        <v>25056</v>
      </c>
      <c r="AA61" s="7">
        <f t="shared" si="7"/>
        <v>25056</v>
      </c>
      <c r="AB61" s="7">
        <f t="shared" si="7"/>
        <v>25056</v>
      </c>
      <c r="AC61" s="7">
        <f t="shared" si="7"/>
        <v>25056</v>
      </c>
      <c r="AD61" s="7">
        <f t="shared" si="7"/>
        <v>25056</v>
      </c>
      <c r="AE61" s="7">
        <f t="shared" si="7"/>
        <v>25056</v>
      </c>
      <c r="AF61" s="7">
        <f t="shared" si="7"/>
        <v>25056</v>
      </c>
      <c r="AG61" s="7">
        <f t="shared" si="7"/>
        <v>25056</v>
      </c>
      <c r="AH61" s="7">
        <f t="shared" si="7"/>
        <v>25056</v>
      </c>
      <c r="AI61" s="7">
        <f t="shared" si="7"/>
        <v>25056</v>
      </c>
      <c r="AJ61" s="7">
        <f t="shared" si="7"/>
        <v>25056</v>
      </c>
      <c r="AK61" s="7">
        <f t="shared" si="7"/>
        <v>25056</v>
      </c>
      <c r="AL61" s="7">
        <f t="shared" si="7"/>
        <v>26100</v>
      </c>
      <c r="AM61" s="7">
        <f t="shared" si="7"/>
        <v>26100</v>
      </c>
      <c r="AN61" s="7">
        <f t="shared" si="7"/>
        <v>26100</v>
      </c>
      <c r="AO61" s="7">
        <f t="shared" si="7"/>
        <v>26100</v>
      </c>
      <c r="AP61" s="7">
        <f t="shared" si="7"/>
        <v>26100</v>
      </c>
      <c r="AQ61" s="7">
        <f t="shared" si="7"/>
        <v>26100</v>
      </c>
      <c r="AR61" s="7">
        <f t="shared" si="7"/>
        <v>26100</v>
      </c>
      <c r="AS61" s="7">
        <f t="shared" si="7"/>
        <v>26100</v>
      </c>
      <c r="AT61" s="7">
        <f t="shared" si="7"/>
        <v>26100</v>
      </c>
      <c r="AU61" s="7">
        <f t="shared" si="7"/>
        <v>26100</v>
      </c>
      <c r="AV61" s="7">
        <f t="shared" si="7"/>
        <v>26100</v>
      </c>
      <c r="AW61" s="7">
        <f t="shared" si="7"/>
        <v>26100</v>
      </c>
      <c r="AX61" s="7">
        <f t="shared" si="7"/>
        <v>26100</v>
      </c>
      <c r="AY61" s="7">
        <f t="shared" si="7"/>
        <v>0</v>
      </c>
      <c r="AZ61" s="7">
        <f t="shared" si="7"/>
        <v>0</v>
      </c>
      <c r="BA61" s="7">
        <f t="shared" si="7"/>
        <v>0</v>
      </c>
      <c r="BB61" s="7">
        <f t="shared" si="7"/>
        <v>0</v>
      </c>
      <c r="BC61" s="7">
        <f t="shared" si="7"/>
        <v>0</v>
      </c>
      <c r="BD61" s="7">
        <f t="shared" si="7"/>
        <v>0</v>
      </c>
      <c r="BE61" s="7">
        <f t="shared" si="7"/>
        <v>0</v>
      </c>
      <c r="BF61" s="7">
        <f t="shared" si="7"/>
        <v>0</v>
      </c>
      <c r="BG61" s="7">
        <f t="shared" si="7"/>
        <v>0</v>
      </c>
      <c r="BH61" s="7">
        <f t="shared" si="7"/>
        <v>0</v>
      </c>
      <c r="BI61" s="7">
        <f t="shared" si="7"/>
        <v>0</v>
      </c>
    </row>
    <row r="62" spans="1:61" x14ac:dyDescent="0.3">
      <c r="A62" s="2" t="s">
        <v>146</v>
      </c>
      <c r="B62" s="7">
        <f>B59*8.5%</f>
        <v>0</v>
      </c>
      <c r="C62" s="7">
        <f t="shared" ref="C62:BI62" si="8">C59*8.5%</f>
        <v>0</v>
      </c>
      <c r="D62" s="7">
        <f t="shared" si="8"/>
        <v>0</v>
      </c>
      <c r="E62" s="7">
        <f t="shared" si="8"/>
        <v>0</v>
      </c>
      <c r="F62" s="7">
        <f t="shared" si="8"/>
        <v>0</v>
      </c>
      <c r="G62" s="7">
        <f t="shared" si="8"/>
        <v>0</v>
      </c>
      <c r="H62" s="7">
        <f t="shared" si="8"/>
        <v>0</v>
      </c>
      <c r="I62" s="7">
        <f t="shared" si="8"/>
        <v>0</v>
      </c>
      <c r="J62" s="7">
        <f t="shared" si="8"/>
        <v>0</v>
      </c>
      <c r="K62" s="7">
        <f t="shared" si="8"/>
        <v>0</v>
      </c>
      <c r="L62" s="7">
        <f t="shared" si="8"/>
        <v>0</v>
      </c>
      <c r="M62" s="7">
        <f t="shared" si="8"/>
        <v>0</v>
      </c>
      <c r="N62" s="7">
        <f t="shared" si="8"/>
        <v>212500.00000000003</v>
      </c>
      <c r="O62" s="7">
        <f t="shared" si="8"/>
        <v>212500.00000000003</v>
      </c>
      <c r="P62" s="7">
        <f t="shared" si="8"/>
        <v>212500.00000000003</v>
      </c>
      <c r="Q62" s="7">
        <f t="shared" si="8"/>
        <v>212500.00000000003</v>
      </c>
      <c r="R62" s="7">
        <f t="shared" si="8"/>
        <v>212500.00000000003</v>
      </c>
      <c r="S62" s="7">
        <f t="shared" si="8"/>
        <v>212500.00000000003</v>
      </c>
      <c r="T62" s="7">
        <f t="shared" si="8"/>
        <v>212500.00000000003</v>
      </c>
      <c r="U62" s="7">
        <f t="shared" si="8"/>
        <v>212500.00000000003</v>
      </c>
      <c r="V62" s="7">
        <f t="shared" si="8"/>
        <v>212500.00000000003</v>
      </c>
      <c r="W62" s="7">
        <f t="shared" si="8"/>
        <v>212500.00000000003</v>
      </c>
      <c r="X62" s="7">
        <f t="shared" si="8"/>
        <v>212500.00000000003</v>
      </c>
      <c r="Y62" s="7">
        <f t="shared" si="8"/>
        <v>212500.00000000003</v>
      </c>
      <c r="Z62" s="7">
        <f t="shared" si="8"/>
        <v>408000.00000000006</v>
      </c>
      <c r="AA62" s="7">
        <f t="shared" si="8"/>
        <v>408000.00000000006</v>
      </c>
      <c r="AB62" s="7">
        <f t="shared" si="8"/>
        <v>408000.00000000006</v>
      </c>
      <c r="AC62" s="7">
        <f t="shared" si="8"/>
        <v>408000.00000000006</v>
      </c>
      <c r="AD62" s="7">
        <f t="shared" si="8"/>
        <v>408000.00000000006</v>
      </c>
      <c r="AE62" s="7">
        <f t="shared" si="8"/>
        <v>408000.00000000006</v>
      </c>
      <c r="AF62" s="7">
        <f t="shared" si="8"/>
        <v>408000.00000000006</v>
      </c>
      <c r="AG62" s="7">
        <f t="shared" si="8"/>
        <v>408000.00000000006</v>
      </c>
      <c r="AH62" s="7">
        <f t="shared" si="8"/>
        <v>408000.00000000006</v>
      </c>
      <c r="AI62" s="7">
        <f t="shared" si="8"/>
        <v>408000.00000000006</v>
      </c>
      <c r="AJ62" s="7">
        <f t="shared" si="8"/>
        <v>408000.00000000006</v>
      </c>
      <c r="AK62" s="7">
        <f t="shared" si="8"/>
        <v>408000.00000000006</v>
      </c>
      <c r="AL62" s="7">
        <f t="shared" si="8"/>
        <v>425000.00000000006</v>
      </c>
      <c r="AM62" s="7">
        <f t="shared" si="8"/>
        <v>425000.00000000006</v>
      </c>
      <c r="AN62" s="7">
        <f t="shared" si="8"/>
        <v>425000.00000000006</v>
      </c>
      <c r="AO62" s="7">
        <f t="shared" si="8"/>
        <v>425000.00000000006</v>
      </c>
      <c r="AP62" s="7">
        <f t="shared" si="8"/>
        <v>425000.00000000006</v>
      </c>
      <c r="AQ62" s="7">
        <f t="shared" si="8"/>
        <v>425000.00000000006</v>
      </c>
      <c r="AR62" s="7">
        <f t="shared" si="8"/>
        <v>425000.00000000006</v>
      </c>
      <c r="AS62" s="7">
        <f t="shared" si="8"/>
        <v>425000.00000000006</v>
      </c>
      <c r="AT62" s="7">
        <f t="shared" si="8"/>
        <v>425000.00000000006</v>
      </c>
      <c r="AU62" s="7">
        <f t="shared" si="8"/>
        <v>425000.00000000006</v>
      </c>
      <c r="AV62" s="7">
        <f t="shared" si="8"/>
        <v>425000.00000000006</v>
      </c>
      <c r="AW62" s="7">
        <f t="shared" si="8"/>
        <v>425000.00000000006</v>
      </c>
      <c r="AX62" s="7">
        <f t="shared" si="8"/>
        <v>425000.00000000006</v>
      </c>
      <c r="AY62" s="7">
        <f t="shared" si="8"/>
        <v>0</v>
      </c>
      <c r="AZ62" s="7">
        <f t="shared" si="8"/>
        <v>0</v>
      </c>
      <c r="BA62" s="7">
        <f t="shared" si="8"/>
        <v>0</v>
      </c>
      <c r="BB62" s="7">
        <f t="shared" si="8"/>
        <v>0</v>
      </c>
      <c r="BC62" s="7">
        <f t="shared" si="8"/>
        <v>0</v>
      </c>
      <c r="BD62" s="7">
        <f t="shared" si="8"/>
        <v>0</v>
      </c>
      <c r="BE62" s="7">
        <f t="shared" si="8"/>
        <v>0</v>
      </c>
      <c r="BF62" s="7">
        <f t="shared" si="8"/>
        <v>0</v>
      </c>
      <c r="BG62" s="7">
        <f t="shared" si="8"/>
        <v>0</v>
      </c>
      <c r="BH62" s="7">
        <f t="shared" si="8"/>
        <v>0</v>
      </c>
      <c r="BI62" s="7">
        <f t="shared" si="8"/>
        <v>0</v>
      </c>
    </row>
    <row r="63" spans="1:61" x14ac:dyDescent="0.3">
      <c r="A63" s="2" t="s">
        <v>147</v>
      </c>
      <c r="B63" s="7">
        <f>B59*12%</f>
        <v>0</v>
      </c>
      <c r="C63" s="7">
        <f t="shared" ref="C63:BI63" si="9">C59*12%</f>
        <v>0</v>
      </c>
      <c r="D63" s="7">
        <f t="shared" si="9"/>
        <v>0</v>
      </c>
      <c r="E63" s="7">
        <f t="shared" si="9"/>
        <v>0</v>
      </c>
      <c r="F63" s="7">
        <f t="shared" si="9"/>
        <v>0</v>
      </c>
      <c r="G63" s="7">
        <f t="shared" si="9"/>
        <v>0</v>
      </c>
      <c r="H63" s="7">
        <f t="shared" si="9"/>
        <v>0</v>
      </c>
      <c r="I63" s="7">
        <f t="shared" si="9"/>
        <v>0</v>
      </c>
      <c r="J63" s="7">
        <f t="shared" si="9"/>
        <v>0</v>
      </c>
      <c r="K63" s="7">
        <f t="shared" si="9"/>
        <v>0</v>
      </c>
      <c r="L63" s="7">
        <f t="shared" si="9"/>
        <v>0</v>
      </c>
      <c r="M63" s="7">
        <f t="shared" si="9"/>
        <v>0</v>
      </c>
      <c r="N63" s="7">
        <f t="shared" si="9"/>
        <v>300000</v>
      </c>
      <c r="O63" s="7">
        <f t="shared" si="9"/>
        <v>300000</v>
      </c>
      <c r="P63" s="7">
        <f t="shared" si="9"/>
        <v>300000</v>
      </c>
      <c r="Q63" s="7">
        <f t="shared" si="9"/>
        <v>300000</v>
      </c>
      <c r="R63" s="7">
        <f t="shared" si="9"/>
        <v>300000</v>
      </c>
      <c r="S63" s="7">
        <f t="shared" si="9"/>
        <v>300000</v>
      </c>
      <c r="T63" s="7">
        <f t="shared" si="9"/>
        <v>300000</v>
      </c>
      <c r="U63" s="7">
        <f t="shared" si="9"/>
        <v>300000</v>
      </c>
      <c r="V63" s="7">
        <f t="shared" si="9"/>
        <v>300000</v>
      </c>
      <c r="W63" s="7">
        <f t="shared" si="9"/>
        <v>300000</v>
      </c>
      <c r="X63" s="7">
        <f t="shared" si="9"/>
        <v>300000</v>
      </c>
      <c r="Y63" s="7">
        <f t="shared" si="9"/>
        <v>300000</v>
      </c>
      <c r="Z63" s="7">
        <f t="shared" si="9"/>
        <v>576000</v>
      </c>
      <c r="AA63" s="7">
        <f t="shared" si="9"/>
        <v>576000</v>
      </c>
      <c r="AB63" s="7">
        <f t="shared" si="9"/>
        <v>576000</v>
      </c>
      <c r="AC63" s="7">
        <f t="shared" si="9"/>
        <v>576000</v>
      </c>
      <c r="AD63" s="7">
        <f t="shared" si="9"/>
        <v>576000</v>
      </c>
      <c r="AE63" s="7">
        <f t="shared" si="9"/>
        <v>576000</v>
      </c>
      <c r="AF63" s="7">
        <f t="shared" si="9"/>
        <v>576000</v>
      </c>
      <c r="AG63" s="7">
        <f t="shared" si="9"/>
        <v>576000</v>
      </c>
      <c r="AH63" s="7">
        <f t="shared" si="9"/>
        <v>576000</v>
      </c>
      <c r="AI63" s="7">
        <f t="shared" si="9"/>
        <v>576000</v>
      </c>
      <c r="AJ63" s="7">
        <f t="shared" si="9"/>
        <v>576000</v>
      </c>
      <c r="AK63" s="7">
        <f t="shared" si="9"/>
        <v>576000</v>
      </c>
      <c r="AL63" s="7">
        <f t="shared" si="9"/>
        <v>600000</v>
      </c>
      <c r="AM63" s="7">
        <f t="shared" si="9"/>
        <v>600000</v>
      </c>
      <c r="AN63" s="7">
        <f t="shared" si="9"/>
        <v>600000</v>
      </c>
      <c r="AO63" s="7">
        <f t="shared" si="9"/>
        <v>600000</v>
      </c>
      <c r="AP63" s="7">
        <f t="shared" si="9"/>
        <v>600000</v>
      </c>
      <c r="AQ63" s="7">
        <f t="shared" si="9"/>
        <v>600000</v>
      </c>
      <c r="AR63" s="7">
        <f t="shared" si="9"/>
        <v>600000</v>
      </c>
      <c r="AS63" s="7">
        <f t="shared" si="9"/>
        <v>600000</v>
      </c>
      <c r="AT63" s="7">
        <f t="shared" si="9"/>
        <v>600000</v>
      </c>
      <c r="AU63" s="7">
        <f t="shared" si="9"/>
        <v>600000</v>
      </c>
      <c r="AV63" s="7">
        <f t="shared" si="9"/>
        <v>600000</v>
      </c>
      <c r="AW63" s="7">
        <f t="shared" si="9"/>
        <v>600000</v>
      </c>
      <c r="AX63" s="7">
        <f t="shared" si="9"/>
        <v>600000</v>
      </c>
      <c r="AY63" s="7">
        <f t="shared" si="9"/>
        <v>0</v>
      </c>
      <c r="AZ63" s="7">
        <f t="shared" si="9"/>
        <v>0</v>
      </c>
      <c r="BA63" s="7">
        <f t="shared" si="9"/>
        <v>0</v>
      </c>
      <c r="BB63" s="7">
        <f t="shared" si="9"/>
        <v>0</v>
      </c>
      <c r="BC63" s="7">
        <f t="shared" si="9"/>
        <v>0</v>
      </c>
      <c r="BD63" s="7">
        <f t="shared" si="9"/>
        <v>0</v>
      </c>
      <c r="BE63" s="7">
        <f t="shared" si="9"/>
        <v>0</v>
      </c>
      <c r="BF63" s="7">
        <f t="shared" si="9"/>
        <v>0</v>
      </c>
      <c r="BG63" s="7">
        <f t="shared" si="9"/>
        <v>0</v>
      </c>
      <c r="BH63" s="7">
        <f t="shared" si="9"/>
        <v>0</v>
      </c>
      <c r="BI63" s="7">
        <f t="shared" si="9"/>
        <v>0</v>
      </c>
    </row>
    <row r="64" spans="1:61" x14ac:dyDescent="0.3">
      <c r="A64" s="2" t="s">
        <v>148</v>
      </c>
      <c r="B64" s="7">
        <f>B59*4%</f>
        <v>0</v>
      </c>
      <c r="C64" s="7">
        <f t="shared" ref="C64:BI64" si="10">C59*4%</f>
        <v>0</v>
      </c>
      <c r="D64" s="7">
        <f t="shared" si="10"/>
        <v>0</v>
      </c>
      <c r="E64" s="7">
        <f t="shared" si="10"/>
        <v>0</v>
      </c>
      <c r="F64" s="7">
        <f t="shared" si="10"/>
        <v>0</v>
      </c>
      <c r="G64" s="7">
        <f t="shared" si="10"/>
        <v>0</v>
      </c>
      <c r="H64" s="7">
        <f t="shared" si="10"/>
        <v>0</v>
      </c>
      <c r="I64" s="7">
        <f t="shared" si="10"/>
        <v>0</v>
      </c>
      <c r="J64" s="7">
        <f t="shared" si="10"/>
        <v>0</v>
      </c>
      <c r="K64" s="7">
        <f t="shared" si="10"/>
        <v>0</v>
      </c>
      <c r="L64" s="7">
        <f t="shared" si="10"/>
        <v>0</v>
      </c>
      <c r="M64" s="7">
        <f t="shared" si="10"/>
        <v>0</v>
      </c>
      <c r="N64" s="7">
        <f t="shared" si="10"/>
        <v>100000</v>
      </c>
      <c r="O64" s="7">
        <f t="shared" si="10"/>
        <v>100000</v>
      </c>
      <c r="P64" s="7">
        <f t="shared" si="10"/>
        <v>100000</v>
      </c>
      <c r="Q64" s="7">
        <f t="shared" si="10"/>
        <v>100000</v>
      </c>
      <c r="R64" s="7">
        <f t="shared" si="10"/>
        <v>100000</v>
      </c>
      <c r="S64" s="7">
        <f t="shared" si="10"/>
        <v>100000</v>
      </c>
      <c r="T64" s="7">
        <f t="shared" si="10"/>
        <v>100000</v>
      </c>
      <c r="U64" s="7">
        <f t="shared" si="10"/>
        <v>100000</v>
      </c>
      <c r="V64" s="7">
        <f t="shared" si="10"/>
        <v>100000</v>
      </c>
      <c r="W64" s="7">
        <f t="shared" si="10"/>
        <v>100000</v>
      </c>
      <c r="X64" s="7">
        <f t="shared" si="10"/>
        <v>100000</v>
      </c>
      <c r="Y64" s="7">
        <f t="shared" si="10"/>
        <v>100000</v>
      </c>
      <c r="Z64" s="7">
        <f t="shared" si="10"/>
        <v>192000</v>
      </c>
      <c r="AA64" s="7">
        <f t="shared" si="10"/>
        <v>192000</v>
      </c>
      <c r="AB64" s="7">
        <f t="shared" si="10"/>
        <v>192000</v>
      </c>
      <c r="AC64" s="7">
        <f t="shared" si="10"/>
        <v>192000</v>
      </c>
      <c r="AD64" s="7">
        <f t="shared" si="10"/>
        <v>192000</v>
      </c>
      <c r="AE64" s="7">
        <f t="shared" si="10"/>
        <v>192000</v>
      </c>
      <c r="AF64" s="7">
        <f t="shared" si="10"/>
        <v>192000</v>
      </c>
      <c r="AG64" s="7">
        <f t="shared" si="10"/>
        <v>192000</v>
      </c>
      <c r="AH64" s="7">
        <f t="shared" si="10"/>
        <v>192000</v>
      </c>
      <c r="AI64" s="7">
        <f t="shared" si="10"/>
        <v>192000</v>
      </c>
      <c r="AJ64" s="7">
        <f t="shared" si="10"/>
        <v>192000</v>
      </c>
      <c r="AK64" s="7">
        <f t="shared" si="10"/>
        <v>192000</v>
      </c>
      <c r="AL64" s="7">
        <f t="shared" si="10"/>
        <v>200000</v>
      </c>
      <c r="AM64" s="7">
        <f t="shared" si="10"/>
        <v>200000</v>
      </c>
      <c r="AN64" s="7">
        <f t="shared" si="10"/>
        <v>200000</v>
      </c>
      <c r="AO64" s="7">
        <f t="shared" si="10"/>
        <v>200000</v>
      </c>
      <c r="AP64" s="7">
        <f t="shared" si="10"/>
        <v>200000</v>
      </c>
      <c r="AQ64" s="7">
        <f t="shared" si="10"/>
        <v>200000</v>
      </c>
      <c r="AR64" s="7">
        <f t="shared" si="10"/>
        <v>200000</v>
      </c>
      <c r="AS64" s="7">
        <f t="shared" si="10"/>
        <v>200000</v>
      </c>
      <c r="AT64" s="7">
        <f t="shared" si="10"/>
        <v>200000</v>
      </c>
      <c r="AU64" s="7">
        <f t="shared" si="10"/>
        <v>200000</v>
      </c>
      <c r="AV64" s="7">
        <f t="shared" si="10"/>
        <v>200000</v>
      </c>
      <c r="AW64" s="7">
        <f t="shared" si="10"/>
        <v>200000</v>
      </c>
      <c r="AX64" s="7">
        <f t="shared" si="10"/>
        <v>200000</v>
      </c>
      <c r="AY64" s="7">
        <f t="shared" si="10"/>
        <v>0</v>
      </c>
      <c r="AZ64" s="7">
        <f t="shared" si="10"/>
        <v>0</v>
      </c>
      <c r="BA64" s="7">
        <f t="shared" si="10"/>
        <v>0</v>
      </c>
      <c r="BB64" s="7">
        <f t="shared" si="10"/>
        <v>0</v>
      </c>
      <c r="BC64" s="7">
        <f t="shared" si="10"/>
        <v>0</v>
      </c>
      <c r="BD64" s="7">
        <f t="shared" si="10"/>
        <v>0</v>
      </c>
      <c r="BE64" s="7">
        <f t="shared" si="10"/>
        <v>0</v>
      </c>
      <c r="BF64" s="7">
        <f t="shared" si="10"/>
        <v>0</v>
      </c>
      <c r="BG64" s="7">
        <f t="shared" si="10"/>
        <v>0</v>
      </c>
      <c r="BH64" s="7">
        <f t="shared" si="10"/>
        <v>0</v>
      </c>
      <c r="BI64" s="7">
        <f t="shared" si="10"/>
        <v>0</v>
      </c>
    </row>
    <row r="65" spans="1:61" x14ac:dyDescent="0.3">
      <c r="A65" s="2" t="s">
        <v>149</v>
      </c>
      <c r="B65" s="7">
        <f>B59*(100%/12)</f>
        <v>0</v>
      </c>
      <c r="C65" s="7">
        <f t="shared" ref="C65:BI65" si="11">C59*(100%/12)</f>
        <v>0</v>
      </c>
      <c r="D65" s="7">
        <f t="shared" si="11"/>
        <v>0</v>
      </c>
      <c r="E65" s="7">
        <f t="shared" si="11"/>
        <v>0</v>
      </c>
      <c r="F65" s="7">
        <f t="shared" si="11"/>
        <v>0</v>
      </c>
      <c r="G65" s="7">
        <f t="shared" si="11"/>
        <v>0</v>
      </c>
      <c r="H65" s="7">
        <f t="shared" si="11"/>
        <v>0</v>
      </c>
      <c r="I65" s="7">
        <f t="shared" si="11"/>
        <v>0</v>
      </c>
      <c r="J65" s="7">
        <f t="shared" si="11"/>
        <v>0</v>
      </c>
      <c r="K65" s="7">
        <f t="shared" si="11"/>
        <v>0</v>
      </c>
      <c r="L65" s="7">
        <f t="shared" si="11"/>
        <v>0</v>
      </c>
      <c r="M65" s="7">
        <f t="shared" si="11"/>
        <v>0</v>
      </c>
      <c r="N65" s="7">
        <f t="shared" si="11"/>
        <v>208333.33333333331</v>
      </c>
      <c r="O65" s="7">
        <f t="shared" si="11"/>
        <v>208333.33333333331</v>
      </c>
      <c r="P65" s="7">
        <f t="shared" si="11"/>
        <v>208333.33333333331</v>
      </c>
      <c r="Q65" s="7">
        <f t="shared" si="11"/>
        <v>208333.33333333331</v>
      </c>
      <c r="R65" s="7">
        <f t="shared" si="11"/>
        <v>208333.33333333331</v>
      </c>
      <c r="S65" s="7">
        <f t="shared" si="11"/>
        <v>208333.33333333331</v>
      </c>
      <c r="T65" s="7">
        <f t="shared" si="11"/>
        <v>208333.33333333331</v>
      </c>
      <c r="U65" s="7">
        <f t="shared" si="11"/>
        <v>208333.33333333331</v>
      </c>
      <c r="V65" s="7">
        <f t="shared" si="11"/>
        <v>208333.33333333331</v>
      </c>
      <c r="W65" s="7">
        <f t="shared" si="11"/>
        <v>208333.33333333331</v>
      </c>
      <c r="X65" s="7">
        <f t="shared" si="11"/>
        <v>208333.33333333331</v>
      </c>
      <c r="Y65" s="7">
        <f t="shared" si="11"/>
        <v>208333.33333333331</v>
      </c>
      <c r="Z65" s="7">
        <f t="shared" si="11"/>
        <v>400000</v>
      </c>
      <c r="AA65" s="7">
        <f t="shared" si="11"/>
        <v>400000</v>
      </c>
      <c r="AB65" s="7">
        <f t="shared" si="11"/>
        <v>400000</v>
      </c>
      <c r="AC65" s="7">
        <f t="shared" si="11"/>
        <v>400000</v>
      </c>
      <c r="AD65" s="7">
        <f t="shared" si="11"/>
        <v>400000</v>
      </c>
      <c r="AE65" s="7">
        <f t="shared" si="11"/>
        <v>400000</v>
      </c>
      <c r="AF65" s="7">
        <f t="shared" si="11"/>
        <v>400000</v>
      </c>
      <c r="AG65" s="7">
        <f t="shared" si="11"/>
        <v>400000</v>
      </c>
      <c r="AH65" s="7">
        <f t="shared" si="11"/>
        <v>400000</v>
      </c>
      <c r="AI65" s="7">
        <f t="shared" si="11"/>
        <v>400000</v>
      </c>
      <c r="AJ65" s="7">
        <f t="shared" si="11"/>
        <v>400000</v>
      </c>
      <c r="AK65" s="7">
        <f t="shared" si="11"/>
        <v>400000</v>
      </c>
      <c r="AL65" s="7">
        <f t="shared" si="11"/>
        <v>416666.66666666663</v>
      </c>
      <c r="AM65" s="7">
        <f t="shared" si="11"/>
        <v>416666.66666666663</v>
      </c>
      <c r="AN65" s="7">
        <f t="shared" si="11"/>
        <v>416666.66666666663</v>
      </c>
      <c r="AO65" s="7">
        <f t="shared" si="11"/>
        <v>416666.66666666663</v>
      </c>
      <c r="AP65" s="7">
        <f t="shared" si="11"/>
        <v>416666.66666666663</v>
      </c>
      <c r="AQ65" s="7">
        <f t="shared" si="11"/>
        <v>416666.66666666663</v>
      </c>
      <c r="AR65" s="7">
        <f t="shared" si="11"/>
        <v>416666.66666666663</v>
      </c>
      <c r="AS65" s="7">
        <f t="shared" si="11"/>
        <v>416666.66666666663</v>
      </c>
      <c r="AT65" s="7">
        <f t="shared" si="11"/>
        <v>416666.66666666663</v>
      </c>
      <c r="AU65" s="7">
        <f t="shared" si="11"/>
        <v>416666.66666666663</v>
      </c>
      <c r="AV65" s="7">
        <f t="shared" si="11"/>
        <v>416666.66666666663</v>
      </c>
      <c r="AW65" s="7">
        <f t="shared" si="11"/>
        <v>416666.66666666663</v>
      </c>
      <c r="AX65" s="7">
        <f t="shared" si="11"/>
        <v>416666.66666666663</v>
      </c>
      <c r="AY65" s="7">
        <f t="shared" si="11"/>
        <v>0</v>
      </c>
      <c r="AZ65" s="7">
        <f t="shared" si="11"/>
        <v>0</v>
      </c>
      <c r="BA65" s="7">
        <f t="shared" si="11"/>
        <v>0</v>
      </c>
      <c r="BB65" s="7">
        <f t="shared" si="11"/>
        <v>0</v>
      </c>
      <c r="BC65" s="7">
        <f t="shared" si="11"/>
        <v>0</v>
      </c>
      <c r="BD65" s="7">
        <f t="shared" si="11"/>
        <v>0</v>
      </c>
      <c r="BE65" s="7">
        <f t="shared" si="11"/>
        <v>0</v>
      </c>
      <c r="BF65" s="7">
        <f t="shared" si="11"/>
        <v>0</v>
      </c>
      <c r="BG65" s="7">
        <f t="shared" si="11"/>
        <v>0</v>
      </c>
      <c r="BH65" s="7">
        <f t="shared" si="11"/>
        <v>0</v>
      </c>
      <c r="BI65" s="7">
        <f t="shared" si="11"/>
        <v>0</v>
      </c>
    </row>
    <row r="66" spans="1:61" x14ac:dyDescent="0.3">
      <c r="A66" s="2" t="s">
        <v>150</v>
      </c>
      <c r="B66" s="7">
        <f>B59*(100%/12)</f>
        <v>0</v>
      </c>
      <c r="C66" s="7">
        <f t="shared" ref="C66:BI66" si="12">C59*(100%/12)</f>
        <v>0</v>
      </c>
      <c r="D66" s="7">
        <f t="shared" si="12"/>
        <v>0</v>
      </c>
      <c r="E66" s="7">
        <f t="shared" si="12"/>
        <v>0</v>
      </c>
      <c r="F66" s="7">
        <f t="shared" si="12"/>
        <v>0</v>
      </c>
      <c r="G66" s="7">
        <f t="shared" si="12"/>
        <v>0</v>
      </c>
      <c r="H66" s="7">
        <f t="shared" si="12"/>
        <v>0</v>
      </c>
      <c r="I66" s="7">
        <f t="shared" si="12"/>
        <v>0</v>
      </c>
      <c r="J66" s="7">
        <f t="shared" si="12"/>
        <v>0</v>
      </c>
      <c r="K66" s="7">
        <f t="shared" si="12"/>
        <v>0</v>
      </c>
      <c r="L66" s="7">
        <f t="shared" si="12"/>
        <v>0</v>
      </c>
      <c r="M66" s="7">
        <f t="shared" si="12"/>
        <v>0</v>
      </c>
      <c r="N66" s="7">
        <f t="shared" si="12"/>
        <v>208333.33333333331</v>
      </c>
      <c r="O66" s="7">
        <f t="shared" si="12"/>
        <v>208333.33333333331</v>
      </c>
      <c r="P66" s="7">
        <f t="shared" si="12"/>
        <v>208333.33333333331</v>
      </c>
      <c r="Q66" s="7">
        <f t="shared" si="12"/>
        <v>208333.33333333331</v>
      </c>
      <c r="R66" s="7">
        <f t="shared" si="12"/>
        <v>208333.33333333331</v>
      </c>
      <c r="S66" s="7">
        <f t="shared" si="12"/>
        <v>208333.33333333331</v>
      </c>
      <c r="T66" s="7">
        <f t="shared" si="12"/>
        <v>208333.33333333331</v>
      </c>
      <c r="U66" s="7">
        <f t="shared" si="12"/>
        <v>208333.33333333331</v>
      </c>
      <c r="V66" s="7">
        <f t="shared" si="12"/>
        <v>208333.33333333331</v>
      </c>
      <c r="W66" s="7">
        <f t="shared" si="12"/>
        <v>208333.33333333331</v>
      </c>
      <c r="X66" s="7">
        <f t="shared" si="12"/>
        <v>208333.33333333331</v>
      </c>
      <c r="Y66" s="7">
        <f t="shared" si="12"/>
        <v>208333.33333333331</v>
      </c>
      <c r="Z66" s="7">
        <f t="shared" si="12"/>
        <v>400000</v>
      </c>
      <c r="AA66" s="7">
        <f t="shared" si="12"/>
        <v>400000</v>
      </c>
      <c r="AB66" s="7">
        <f t="shared" si="12"/>
        <v>400000</v>
      </c>
      <c r="AC66" s="7">
        <f t="shared" si="12"/>
        <v>400000</v>
      </c>
      <c r="AD66" s="7">
        <f t="shared" si="12"/>
        <v>400000</v>
      </c>
      <c r="AE66" s="7">
        <f t="shared" si="12"/>
        <v>400000</v>
      </c>
      <c r="AF66" s="7">
        <f t="shared" si="12"/>
        <v>400000</v>
      </c>
      <c r="AG66" s="7">
        <f t="shared" si="12"/>
        <v>400000</v>
      </c>
      <c r="AH66" s="7">
        <f t="shared" si="12"/>
        <v>400000</v>
      </c>
      <c r="AI66" s="7">
        <f t="shared" si="12"/>
        <v>400000</v>
      </c>
      <c r="AJ66" s="7">
        <f t="shared" si="12"/>
        <v>400000</v>
      </c>
      <c r="AK66" s="7">
        <f t="shared" si="12"/>
        <v>400000</v>
      </c>
      <c r="AL66" s="7">
        <f t="shared" si="12"/>
        <v>416666.66666666663</v>
      </c>
      <c r="AM66" s="7">
        <f t="shared" si="12"/>
        <v>416666.66666666663</v>
      </c>
      <c r="AN66" s="7">
        <f t="shared" si="12"/>
        <v>416666.66666666663</v>
      </c>
      <c r="AO66" s="7">
        <f t="shared" si="12"/>
        <v>416666.66666666663</v>
      </c>
      <c r="AP66" s="7">
        <f t="shared" si="12"/>
        <v>416666.66666666663</v>
      </c>
      <c r="AQ66" s="7">
        <f t="shared" si="12"/>
        <v>416666.66666666663</v>
      </c>
      <c r="AR66" s="7">
        <f t="shared" si="12"/>
        <v>416666.66666666663</v>
      </c>
      <c r="AS66" s="7">
        <f t="shared" si="12"/>
        <v>416666.66666666663</v>
      </c>
      <c r="AT66" s="7">
        <f t="shared" si="12"/>
        <v>416666.66666666663</v>
      </c>
      <c r="AU66" s="7">
        <f t="shared" si="12"/>
        <v>416666.66666666663</v>
      </c>
      <c r="AV66" s="7">
        <f t="shared" si="12"/>
        <v>416666.66666666663</v>
      </c>
      <c r="AW66" s="7">
        <f t="shared" si="12"/>
        <v>416666.66666666663</v>
      </c>
      <c r="AX66" s="7">
        <f t="shared" si="12"/>
        <v>416666.66666666663</v>
      </c>
      <c r="AY66" s="7">
        <f t="shared" si="12"/>
        <v>0</v>
      </c>
      <c r="AZ66" s="7">
        <f t="shared" si="12"/>
        <v>0</v>
      </c>
      <c r="BA66" s="7">
        <f t="shared" si="12"/>
        <v>0</v>
      </c>
      <c r="BB66" s="7">
        <f t="shared" si="12"/>
        <v>0</v>
      </c>
      <c r="BC66" s="7">
        <f t="shared" si="12"/>
        <v>0</v>
      </c>
      <c r="BD66" s="7">
        <f t="shared" si="12"/>
        <v>0</v>
      </c>
      <c r="BE66" s="7">
        <f t="shared" si="12"/>
        <v>0</v>
      </c>
      <c r="BF66" s="7">
        <f t="shared" si="12"/>
        <v>0</v>
      </c>
      <c r="BG66" s="7">
        <f t="shared" si="12"/>
        <v>0</v>
      </c>
      <c r="BH66" s="7">
        <f t="shared" si="12"/>
        <v>0</v>
      </c>
      <c r="BI66" s="7">
        <f t="shared" si="12"/>
        <v>0</v>
      </c>
    </row>
    <row r="67" spans="1:61" x14ac:dyDescent="0.3">
      <c r="A67" s="2" t="s">
        <v>151</v>
      </c>
      <c r="B67" s="7">
        <f>B66*1%</f>
        <v>0</v>
      </c>
      <c r="C67" s="7">
        <f t="shared" ref="C67:BI67" si="13">C66*1%</f>
        <v>0</v>
      </c>
      <c r="D67" s="7">
        <f t="shared" si="13"/>
        <v>0</v>
      </c>
      <c r="E67" s="7">
        <f t="shared" si="13"/>
        <v>0</v>
      </c>
      <c r="F67" s="7">
        <f t="shared" si="13"/>
        <v>0</v>
      </c>
      <c r="G67" s="7">
        <f t="shared" si="13"/>
        <v>0</v>
      </c>
      <c r="H67" s="7">
        <f t="shared" si="13"/>
        <v>0</v>
      </c>
      <c r="I67" s="7">
        <f t="shared" si="13"/>
        <v>0</v>
      </c>
      <c r="J67" s="7">
        <f t="shared" si="13"/>
        <v>0</v>
      </c>
      <c r="K67" s="7">
        <f t="shared" si="13"/>
        <v>0</v>
      </c>
      <c r="L67" s="7">
        <f t="shared" si="13"/>
        <v>0</v>
      </c>
      <c r="M67" s="7">
        <f t="shared" si="13"/>
        <v>0</v>
      </c>
      <c r="N67" s="7">
        <f t="shared" si="13"/>
        <v>2083.333333333333</v>
      </c>
      <c r="O67" s="7">
        <f t="shared" si="13"/>
        <v>2083.333333333333</v>
      </c>
      <c r="P67" s="7">
        <f t="shared" si="13"/>
        <v>2083.333333333333</v>
      </c>
      <c r="Q67" s="7">
        <f t="shared" si="13"/>
        <v>2083.333333333333</v>
      </c>
      <c r="R67" s="7">
        <f t="shared" si="13"/>
        <v>2083.333333333333</v>
      </c>
      <c r="S67" s="7">
        <f t="shared" si="13"/>
        <v>2083.333333333333</v>
      </c>
      <c r="T67" s="7">
        <f t="shared" si="13"/>
        <v>2083.333333333333</v>
      </c>
      <c r="U67" s="7">
        <f t="shared" si="13"/>
        <v>2083.333333333333</v>
      </c>
      <c r="V67" s="7">
        <f t="shared" si="13"/>
        <v>2083.333333333333</v>
      </c>
      <c r="W67" s="7">
        <f t="shared" si="13"/>
        <v>2083.333333333333</v>
      </c>
      <c r="X67" s="7">
        <f t="shared" si="13"/>
        <v>2083.333333333333</v>
      </c>
      <c r="Y67" s="7">
        <f t="shared" si="13"/>
        <v>2083.333333333333</v>
      </c>
      <c r="Z67" s="7">
        <f t="shared" si="13"/>
        <v>4000</v>
      </c>
      <c r="AA67" s="7">
        <f t="shared" si="13"/>
        <v>4000</v>
      </c>
      <c r="AB67" s="7">
        <f t="shared" si="13"/>
        <v>4000</v>
      </c>
      <c r="AC67" s="7">
        <f t="shared" si="13"/>
        <v>4000</v>
      </c>
      <c r="AD67" s="7">
        <f t="shared" si="13"/>
        <v>4000</v>
      </c>
      <c r="AE67" s="7">
        <f t="shared" si="13"/>
        <v>4000</v>
      </c>
      <c r="AF67" s="7">
        <f t="shared" si="13"/>
        <v>4000</v>
      </c>
      <c r="AG67" s="7">
        <f t="shared" si="13"/>
        <v>4000</v>
      </c>
      <c r="AH67" s="7">
        <f t="shared" si="13"/>
        <v>4000</v>
      </c>
      <c r="AI67" s="7">
        <f t="shared" si="13"/>
        <v>4000</v>
      </c>
      <c r="AJ67" s="7">
        <f t="shared" si="13"/>
        <v>4000</v>
      </c>
      <c r="AK67" s="7">
        <f t="shared" si="13"/>
        <v>4000</v>
      </c>
      <c r="AL67" s="7">
        <f t="shared" si="13"/>
        <v>4166.6666666666661</v>
      </c>
      <c r="AM67" s="7">
        <f t="shared" si="13"/>
        <v>4166.6666666666661</v>
      </c>
      <c r="AN67" s="7">
        <f t="shared" si="13"/>
        <v>4166.6666666666661</v>
      </c>
      <c r="AO67" s="7">
        <f t="shared" si="13"/>
        <v>4166.6666666666661</v>
      </c>
      <c r="AP67" s="7">
        <f t="shared" si="13"/>
        <v>4166.6666666666661</v>
      </c>
      <c r="AQ67" s="7">
        <f t="shared" si="13"/>
        <v>4166.6666666666661</v>
      </c>
      <c r="AR67" s="7">
        <f t="shared" si="13"/>
        <v>4166.6666666666661</v>
      </c>
      <c r="AS67" s="7">
        <f t="shared" si="13"/>
        <v>4166.6666666666661</v>
      </c>
      <c r="AT67" s="7">
        <f t="shared" si="13"/>
        <v>4166.6666666666661</v>
      </c>
      <c r="AU67" s="7">
        <f t="shared" si="13"/>
        <v>4166.6666666666661</v>
      </c>
      <c r="AV67" s="7">
        <f t="shared" si="13"/>
        <v>4166.6666666666661</v>
      </c>
      <c r="AW67" s="7">
        <f t="shared" si="13"/>
        <v>4166.6666666666661</v>
      </c>
      <c r="AX67" s="7">
        <f t="shared" si="13"/>
        <v>4166.6666666666661</v>
      </c>
      <c r="AY67" s="7">
        <f t="shared" si="13"/>
        <v>0</v>
      </c>
      <c r="AZ67" s="7">
        <f t="shared" si="13"/>
        <v>0</v>
      </c>
      <c r="BA67" s="7">
        <f t="shared" si="13"/>
        <v>0</v>
      </c>
      <c r="BB67" s="7">
        <f t="shared" si="13"/>
        <v>0</v>
      </c>
      <c r="BC67" s="7">
        <f t="shared" si="13"/>
        <v>0</v>
      </c>
      <c r="BD67" s="7">
        <f t="shared" si="13"/>
        <v>0</v>
      </c>
      <c r="BE67" s="7">
        <f t="shared" si="13"/>
        <v>0</v>
      </c>
      <c r="BF67" s="7">
        <f t="shared" si="13"/>
        <v>0</v>
      </c>
      <c r="BG67" s="7">
        <f t="shared" si="13"/>
        <v>0</v>
      </c>
      <c r="BH67" s="7">
        <f t="shared" si="13"/>
        <v>0</v>
      </c>
      <c r="BI67" s="7">
        <f t="shared" si="13"/>
        <v>0</v>
      </c>
    </row>
    <row r="68" spans="1:61" x14ac:dyDescent="0.3">
      <c r="A68" s="2" t="s">
        <v>152</v>
      </c>
      <c r="B68" s="7">
        <f>B59*(100%/24)</f>
        <v>0</v>
      </c>
      <c r="C68" s="7">
        <f t="shared" ref="C68:BI68" si="14">C59*(100%/24)</f>
        <v>0</v>
      </c>
      <c r="D68" s="7">
        <f t="shared" si="14"/>
        <v>0</v>
      </c>
      <c r="E68" s="7">
        <f t="shared" si="14"/>
        <v>0</v>
      </c>
      <c r="F68" s="7">
        <f t="shared" si="14"/>
        <v>0</v>
      </c>
      <c r="G68" s="7">
        <f t="shared" si="14"/>
        <v>0</v>
      </c>
      <c r="H68" s="7">
        <f t="shared" si="14"/>
        <v>0</v>
      </c>
      <c r="I68" s="7">
        <f t="shared" si="14"/>
        <v>0</v>
      </c>
      <c r="J68" s="7">
        <f t="shared" si="14"/>
        <v>0</v>
      </c>
      <c r="K68" s="7">
        <f t="shared" si="14"/>
        <v>0</v>
      </c>
      <c r="L68" s="7">
        <f t="shared" si="14"/>
        <v>0</v>
      </c>
      <c r="M68" s="7">
        <f t="shared" si="14"/>
        <v>0</v>
      </c>
      <c r="N68" s="7">
        <f t="shared" si="14"/>
        <v>104166.66666666666</v>
      </c>
      <c r="O68" s="7">
        <f t="shared" si="14"/>
        <v>104166.66666666666</v>
      </c>
      <c r="P68" s="7">
        <f t="shared" si="14"/>
        <v>104166.66666666666</v>
      </c>
      <c r="Q68" s="7">
        <f t="shared" si="14"/>
        <v>104166.66666666666</v>
      </c>
      <c r="R68" s="7">
        <f t="shared" si="14"/>
        <v>104166.66666666666</v>
      </c>
      <c r="S68" s="7">
        <f t="shared" si="14"/>
        <v>104166.66666666666</v>
      </c>
      <c r="T68" s="7">
        <f t="shared" si="14"/>
        <v>104166.66666666666</v>
      </c>
      <c r="U68" s="7">
        <f t="shared" si="14"/>
        <v>104166.66666666666</v>
      </c>
      <c r="V68" s="7">
        <f t="shared" si="14"/>
        <v>104166.66666666666</v>
      </c>
      <c r="W68" s="7">
        <f t="shared" si="14"/>
        <v>104166.66666666666</v>
      </c>
      <c r="X68" s="7">
        <f t="shared" si="14"/>
        <v>104166.66666666666</v>
      </c>
      <c r="Y68" s="7">
        <f t="shared" si="14"/>
        <v>104166.66666666666</v>
      </c>
      <c r="Z68" s="7">
        <f t="shared" si="14"/>
        <v>200000</v>
      </c>
      <c r="AA68" s="7">
        <f t="shared" si="14"/>
        <v>200000</v>
      </c>
      <c r="AB68" s="7">
        <f t="shared" si="14"/>
        <v>200000</v>
      </c>
      <c r="AC68" s="7">
        <f t="shared" si="14"/>
        <v>200000</v>
      </c>
      <c r="AD68" s="7">
        <f t="shared" si="14"/>
        <v>200000</v>
      </c>
      <c r="AE68" s="7">
        <f t="shared" si="14"/>
        <v>200000</v>
      </c>
      <c r="AF68" s="7">
        <f t="shared" si="14"/>
        <v>200000</v>
      </c>
      <c r="AG68" s="7">
        <f t="shared" si="14"/>
        <v>200000</v>
      </c>
      <c r="AH68" s="7">
        <f t="shared" si="14"/>
        <v>200000</v>
      </c>
      <c r="AI68" s="7">
        <f t="shared" si="14"/>
        <v>200000</v>
      </c>
      <c r="AJ68" s="7">
        <f t="shared" si="14"/>
        <v>200000</v>
      </c>
      <c r="AK68" s="7">
        <f t="shared" si="14"/>
        <v>200000</v>
      </c>
      <c r="AL68" s="7">
        <f t="shared" si="14"/>
        <v>208333.33333333331</v>
      </c>
      <c r="AM68" s="7">
        <f t="shared" si="14"/>
        <v>208333.33333333331</v>
      </c>
      <c r="AN68" s="7">
        <f t="shared" si="14"/>
        <v>208333.33333333331</v>
      </c>
      <c r="AO68" s="7">
        <f t="shared" si="14"/>
        <v>208333.33333333331</v>
      </c>
      <c r="AP68" s="7">
        <f t="shared" si="14"/>
        <v>208333.33333333331</v>
      </c>
      <c r="AQ68" s="7">
        <f t="shared" si="14"/>
        <v>208333.33333333331</v>
      </c>
      <c r="AR68" s="7">
        <f t="shared" si="14"/>
        <v>208333.33333333331</v>
      </c>
      <c r="AS68" s="7">
        <f t="shared" si="14"/>
        <v>208333.33333333331</v>
      </c>
      <c r="AT68" s="7">
        <f t="shared" si="14"/>
        <v>208333.33333333331</v>
      </c>
      <c r="AU68" s="7">
        <f t="shared" si="14"/>
        <v>208333.33333333331</v>
      </c>
      <c r="AV68" s="7">
        <f t="shared" si="14"/>
        <v>208333.33333333331</v>
      </c>
      <c r="AW68" s="7">
        <f t="shared" si="14"/>
        <v>208333.33333333331</v>
      </c>
      <c r="AX68" s="7">
        <f t="shared" si="14"/>
        <v>208333.33333333331</v>
      </c>
      <c r="AY68" s="7">
        <f t="shared" si="14"/>
        <v>0</v>
      </c>
      <c r="AZ68" s="7">
        <f t="shared" si="14"/>
        <v>0</v>
      </c>
      <c r="BA68" s="7">
        <f t="shared" si="14"/>
        <v>0</v>
      </c>
      <c r="BB68" s="7">
        <f t="shared" si="14"/>
        <v>0</v>
      </c>
      <c r="BC68" s="7">
        <f t="shared" si="14"/>
        <v>0</v>
      </c>
      <c r="BD68" s="7">
        <f t="shared" si="14"/>
        <v>0</v>
      </c>
      <c r="BE68" s="7">
        <f t="shared" si="14"/>
        <v>0</v>
      </c>
      <c r="BF68" s="7">
        <f t="shared" si="14"/>
        <v>0</v>
      </c>
      <c r="BG68" s="7">
        <f t="shared" si="14"/>
        <v>0</v>
      </c>
      <c r="BH68" s="7">
        <f t="shared" si="14"/>
        <v>0</v>
      </c>
      <c r="BI68" s="7">
        <f t="shared" si="14"/>
        <v>0</v>
      </c>
    </row>
    <row r="69" spans="1:61" x14ac:dyDescent="0.3">
      <c r="A69" s="8" t="s">
        <v>179</v>
      </c>
      <c r="B69" s="9">
        <f>SUM(B60:B68)</f>
        <v>0</v>
      </c>
      <c r="C69" s="9">
        <f t="shared" ref="C69:BI69" si="15">SUM(C60:C68)</f>
        <v>0</v>
      </c>
      <c r="D69" s="9">
        <f t="shared" si="15"/>
        <v>0</v>
      </c>
      <c r="E69" s="9">
        <f t="shared" si="15"/>
        <v>0</v>
      </c>
      <c r="F69" s="9">
        <f t="shared" si="15"/>
        <v>0</v>
      </c>
      <c r="G69" s="9">
        <f t="shared" si="15"/>
        <v>0</v>
      </c>
      <c r="H69" s="9">
        <f t="shared" si="15"/>
        <v>0</v>
      </c>
      <c r="I69" s="9">
        <f t="shared" si="15"/>
        <v>0</v>
      </c>
      <c r="J69" s="9">
        <f t="shared" si="15"/>
        <v>0</v>
      </c>
      <c r="K69" s="9">
        <f t="shared" si="15"/>
        <v>0</v>
      </c>
      <c r="L69" s="9">
        <f t="shared" si="15"/>
        <v>0</v>
      </c>
      <c r="M69" s="9">
        <f t="shared" si="15"/>
        <v>0</v>
      </c>
      <c r="N69" s="9">
        <f t="shared" si="15"/>
        <v>1430466.6666666665</v>
      </c>
      <c r="O69" s="9">
        <f t="shared" si="15"/>
        <v>1430466.6666666665</v>
      </c>
      <c r="P69" s="9">
        <f t="shared" si="15"/>
        <v>1430466.6666666665</v>
      </c>
      <c r="Q69" s="9">
        <f t="shared" si="15"/>
        <v>1430466.6666666665</v>
      </c>
      <c r="R69" s="9">
        <f t="shared" si="15"/>
        <v>1430466.6666666665</v>
      </c>
      <c r="S69" s="9">
        <f t="shared" si="15"/>
        <v>1430466.6666666665</v>
      </c>
      <c r="T69" s="9">
        <f t="shared" si="15"/>
        <v>1430466.6666666665</v>
      </c>
      <c r="U69" s="9">
        <f t="shared" si="15"/>
        <v>1430466.6666666665</v>
      </c>
      <c r="V69" s="9">
        <f t="shared" si="15"/>
        <v>1430466.6666666665</v>
      </c>
      <c r="W69" s="9">
        <f t="shared" si="15"/>
        <v>1430466.6666666665</v>
      </c>
      <c r="X69" s="9">
        <f t="shared" si="15"/>
        <v>1430466.6666666665</v>
      </c>
      <c r="Y69" s="9">
        <f t="shared" si="15"/>
        <v>1430466.6666666665</v>
      </c>
      <c r="Z69" s="9">
        <f t="shared" si="15"/>
        <v>2793056</v>
      </c>
      <c r="AA69" s="9">
        <f t="shared" si="15"/>
        <v>2793056</v>
      </c>
      <c r="AB69" s="9">
        <f t="shared" si="15"/>
        <v>2793056</v>
      </c>
      <c r="AC69" s="9">
        <f t="shared" si="15"/>
        <v>2793056</v>
      </c>
      <c r="AD69" s="9">
        <f t="shared" si="15"/>
        <v>2793056</v>
      </c>
      <c r="AE69" s="9">
        <f t="shared" si="15"/>
        <v>2793056</v>
      </c>
      <c r="AF69" s="9">
        <f t="shared" si="15"/>
        <v>2793056</v>
      </c>
      <c r="AG69" s="9">
        <f t="shared" si="15"/>
        <v>2793056</v>
      </c>
      <c r="AH69" s="9">
        <f t="shared" si="15"/>
        <v>2793056</v>
      </c>
      <c r="AI69" s="9">
        <f t="shared" si="15"/>
        <v>2793056</v>
      </c>
      <c r="AJ69" s="9">
        <f t="shared" si="15"/>
        <v>2793056</v>
      </c>
      <c r="AK69" s="9">
        <f t="shared" si="15"/>
        <v>2793056</v>
      </c>
      <c r="AL69" s="9">
        <f t="shared" si="15"/>
        <v>2908933.333333333</v>
      </c>
      <c r="AM69" s="9">
        <f t="shared" si="15"/>
        <v>2908933.333333333</v>
      </c>
      <c r="AN69" s="9">
        <f t="shared" si="15"/>
        <v>2908933.333333333</v>
      </c>
      <c r="AO69" s="9">
        <f t="shared" si="15"/>
        <v>2908933.333333333</v>
      </c>
      <c r="AP69" s="9">
        <f t="shared" si="15"/>
        <v>2908933.333333333</v>
      </c>
      <c r="AQ69" s="9">
        <f t="shared" si="15"/>
        <v>2908933.333333333</v>
      </c>
      <c r="AR69" s="9">
        <f t="shared" si="15"/>
        <v>2908933.333333333</v>
      </c>
      <c r="AS69" s="9">
        <f t="shared" si="15"/>
        <v>2908933.333333333</v>
      </c>
      <c r="AT69" s="9">
        <f t="shared" si="15"/>
        <v>2908933.333333333</v>
      </c>
      <c r="AU69" s="9">
        <f t="shared" si="15"/>
        <v>2908933.333333333</v>
      </c>
      <c r="AV69" s="9">
        <f t="shared" si="15"/>
        <v>2908933.333333333</v>
      </c>
      <c r="AW69" s="9">
        <f t="shared" si="15"/>
        <v>2908933.333333333</v>
      </c>
      <c r="AX69" s="9">
        <f t="shared" si="15"/>
        <v>2932933.333333333</v>
      </c>
      <c r="AY69" s="9">
        <f t="shared" si="15"/>
        <v>0</v>
      </c>
      <c r="AZ69" s="9">
        <f t="shared" si="15"/>
        <v>0</v>
      </c>
      <c r="BA69" s="9">
        <f t="shared" si="15"/>
        <v>0</v>
      </c>
      <c r="BB69" s="9">
        <f t="shared" si="15"/>
        <v>0</v>
      </c>
      <c r="BC69" s="9">
        <f t="shared" si="15"/>
        <v>0</v>
      </c>
      <c r="BD69" s="9">
        <f t="shared" si="15"/>
        <v>0</v>
      </c>
      <c r="BE69" s="9">
        <f t="shared" si="15"/>
        <v>0</v>
      </c>
      <c r="BF69" s="9">
        <f t="shared" si="15"/>
        <v>0</v>
      </c>
      <c r="BG69" s="9">
        <f t="shared" si="15"/>
        <v>0</v>
      </c>
      <c r="BH69" s="9">
        <f t="shared" si="15"/>
        <v>0</v>
      </c>
      <c r="BI69" s="9">
        <f t="shared" si="15"/>
        <v>0</v>
      </c>
    </row>
    <row r="71" spans="1:61" hidden="1" x14ac:dyDescent="0.3">
      <c r="A71" s="120" t="s">
        <v>180</v>
      </c>
      <c r="B71" s="103">
        <f>Año1</f>
        <v>2027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>
        <f>Año2</f>
        <v>2028</v>
      </c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>
        <f>Año3</f>
        <v>2029</v>
      </c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>
        <f>Año4</f>
        <v>2030</v>
      </c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>
        <f>Año5</f>
        <v>2031</v>
      </c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</row>
    <row r="72" spans="1:61" hidden="1" x14ac:dyDescent="0.3">
      <c r="A72" s="120"/>
      <c r="B72" s="4" t="s">
        <v>67</v>
      </c>
      <c r="C72" s="4" t="s">
        <v>68</v>
      </c>
      <c r="D72" s="4" t="s">
        <v>69</v>
      </c>
      <c r="E72" s="4" t="s">
        <v>70</v>
      </c>
      <c r="F72" s="4" t="s">
        <v>71</v>
      </c>
      <c r="G72" s="4" t="s">
        <v>72</v>
      </c>
      <c r="H72" s="4" t="s">
        <v>73</v>
      </c>
      <c r="I72" s="4" t="s">
        <v>74</v>
      </c>
      <c r="J72" s="4" t="s">
        <v>75</v>
      </c>
      <c r="K72" s="4" t="s">
        <v>76</v>
      </c>
      <c r="L72" s="4" t="s">
        <v>77</v>
      </c>
      <c r="M72" s="4" t="s">
        <v>78</v>
      </c>
      <c r="N72" s="4" t="s">
        <v>79</v>
      </c>
      <c r="O72" s="4" t="s">
        <v>80</v>
      </c>
      <c r="P72" s="4" t="s">
        <v>81</v>
      </c>
      <c r="Q72" s="4" t="s">
        <v>82</v>
      </c>
      <c r="R72" s="4" t="s">
        <v>83</v>
      </c>
      <c r="S72" s="4" t="s">
        <v>84</v>
      </c>
      <c r="T72" s="4" t="s">
        <v>85</v>
      </c>
      <c r="U72" s="4" t="s">
        <v>86</v>
      </c>
      <c r="V72" s="4" t="s">
        <v>87</v>
      </c>
      <c r="W72" s="4" t="s">
        <v>88</v>
      </c>
      <c r="X72" s="4" t="s">
        <v>89</v>
      </c>
      <c r="Y72" s="4" t="s">
        <v>90</v>
      </c>
      <c r="Z72" s="4" t="s">
        <v>91</v>
      </c>
      <c r="AA72" s="4" t="s">
        <v>92</v>
      </c>
      <c r="AB72" s="4" t="s">
        <v>93</v>
      </c>
      <c r="AC72" s="4" t="s">
        <v>94</v>
      </c>
      <c r="AD72" s="4" t="s">
        <v>95</v>
      </c>
      <c r="AE72" s="4" t="s">
        <v>96</v>
      </c>
      <c r="AF72" s="4" t="s">
        <v>97</v>
      </c>
      <c r="AG72" s="4" t="s">
        <v>98</v>
      </c>
      <c r="AH72" s="4" t="s">
        <v>99</v>
      </c>
      <c r="AI72" s="4" t="s">
        <v>100</v>
      </c>
      <c r="AJ72" s="4" t="s">
        <v>101</v>
      </c>
      <c r="AK72" s="4" t="s">
        <v>102</v>
      </c>
      <c r="AL72" s="4" t="s">
        <v>103</v>
      </c>
      <c r="AM72" s="4" t="s">
        <v>104</v>
      </c>
      <c r="AN72" s="4" t="s">
        <v>105</v>
      </c>
      <c r="AO72" s="4" t="s">
        <v>106</v>
      </c>
      <c r="AP72" s="4" t="s">
        <v>107</v>
      </c>
      <c r="AQ72" s="4" t="s">
        <v>108</v>
      </c>
      <c r="AR72" s="4" t="s">
        <v>109</v>
      </c>
      <c r="AS72" s="4" t="s">
        <v>110</v>
      </c>
      <c r="AT72" s="4" t="s">
        <v>111</v>
      </c>
      <c r="AU72" s="4" t="s">
        <v>112</v>
      </c>
      <c r="AV72" s="4" t="s">
        <v>113</v>
      </c>
      <c r="AW72" s="4" t="s">
        <v>114</v>
      </c>
      <c r="AX72" s="4" t="s">
        <v>115</v>
      </c>
      <c r="AY72" s="4" t="s">
        <v>116</v>
      </c>
      <c r="AZ72" s="4" t="s">
        <v>117</v>
      </c>
      <c r="BA72" s="4" t="s">
        <v>118</v>
      </c>
      <c r="BB72" s="4" t="s">
        <v>119</v>
      </c>
      <c r="BC72" s="4" t="s">
        <v>120</v>
      </c>
      <c r="BD72" s="4" t="s">
        <v>121</v>
      </c>
      <c r="BE72" s="4" t="s">
        <v>122</v>
      </c>
      <c r="BF72" s="4" t="s">
        <v>123</v>
      </c>
      <c r="BG72" s="4" t="s">
        <v>124</v>
      </c>
      <c r="BH72" s="4" t="s">
        <v>125</v>
      </c>
      <c r="BI72" s="4" t="s">
        <v>126</v>
      </c>
    </row>
    <row r="73" spans="1:61" hidden="1" x14ac:dyDescent="0.3">
      <c r="A73" s="2" t="s">
        <v>181</v>
      </c>
      <c r="B73" s="32">
        <f>B15</f>
        <v>0</v>
      </c>
      <c r="C73" s="32">
        <f t="shared" ref="C73:BI73" si="16">C15</f>
        <v>0</v>
      </c>
      <c r="D73" s="32">
        <f t="shared" si="16"/>
        <v>0</v>
      </c>
      <c r="E73" s="32">
        <f t="shared" si="16"/>
        <v>0</v>
      </c>
      <c r="F73" s="32">
        <f t="shared" si="16"/>
        <v>0</v>
      </c>
      <c r="G73" s="32">
        <f t="shared" si="16"/>
        <v>0</v>
      </c>
      <c r="H73" s="32">
        <f t="shared" si="16"/>
        <v>0</v>
      </c>
      <c r="I73" s="32">
        <f t="shared" si="16"/>
        <v>0</v>
      </c>
      <c r="J73" s="32">
        <f t="shared" si="16"/>
        <v>0</v>
      </c>
      <c r="K73" s="32">
        <f t="shared" si="16"/>
        <v>0</v>
      </c>
      <c r="L73" s="32">
        <f t="shared" si="16"/>
        <v>0</v>
      </c>
      <c r="M73" s="32">
        <f t="shared" si="16"/>
        <v>0</v>
      </c>
      <c r="N73" s="32">
        <f t="shared" si="16"/>
        <v>0</v>
      </c>
      <c r="O73" s="32">
        <f t="shared" si="16"/>
        <v>0</v>
      </c>
      <c r="P73" s="32">
        <f t="shared" si="16"/>
        <v>0</v>
      </c>
      <c r="Q73" s="32">
        <f t="shared" si="16"/>
        <v>0</v>
      </c>
      <c r="R73" s="32">
        <f t="shared" si="16"/>
        <v>0</v>
      </c>
      <c r="S73" s="32">
        <f t="shared" si="16"/>
        <v>0</v>
      </c>
      <c r="T73" s="32">
        <f t="shared" si="16"/>
        <v>0</v>
      </c>
      <c r="U73" s="32">
        <f t="shared" si="16"/>
        <v>0</v>
      </c>
      <c r="V73" s="32">
        <f t="shared" si="16"/>
        <v>0</v>
      </c>
      <c r="W73" s="32">
        <f t="shared" si="16"/>
        <v>0</v>
      </c>
      <c r="X73" s="32">
        <f t="shared" si="16"/>
        <v>0</v>
      </c>
      <c r="Y73" s="32">
        <f t="shared" si="16"/>
        <v>0</v>
      </c>
      <c r="Z73" s="32">
        <f t="shared" si="16"/>
        <v>0</v>
      </c>
      <c r="AA73" s="32">
        <f t="shared" si="16"/>
        <v>0</v>
      </c>
      <c r="AB73" s="32">
        <f t="shared" si="16"/>
        <v>0</v>
      </c>
      <c r="AC73" s="32">
        <f t="shared" si="16"/>
        <v>0</v>
      </c>
      <c r="AD73" s="32">
        <f t="shared" si="16"/>
        <v>0</v>
      </c>
      <c r="AE73" s="32">
        <f t="shared" si="16"/>
        <v>0</v>
      </c>
      <c r="AF73" s="32">
        <f t="shared" si="16"/>
        <v>0</v>
      </c>
      <c r="AG73" s="32">
        <f t="shared" si="16"/>
        <v>0</v>
      </c>
      <c r="AH73" s="32">
        <f t="shared" si="16"/>
        <v>0</v>
      </c>
      <c r="AI73" s="32">
        <f t="shared" si="16"/>
        <v>0</v>
      </c>
      <c r="AJ73" s="32">
        <f t="shared" si="16"/>
        <v>0</v>
      </c>
      <c r="AK73" s="32">
        <f t="shared" si="16"/>
        <v>0</v>
      </c>
      <c r="AL73" s="32">
        <f t="shared" si="16"/>
        <v>0</v>
      </c>
      <c r="AM73" s="32">
        <f t="shared" si="16"/>
        <v>0</v>
      </c>
      <c r="AN73" s="32">
        <f t="shared" si="16"/>
        <v>0</v>
      </c>
      <c r="AO73" s="32">
        <f t="shared" si="16"/>
        <v>0</v>
      </c>
      <c r="AP73" s="32">
        <f t="shared" si="16"/>
        <v>0</v>
      </c>
      <c r="AQ73" s="32">
        <f t="shared" si="16"/>
        <v>0</v>
      </c>
      <c r="AR73" s="32">
        <f t="shared" si="16"/>
        <v>0</v>
      </c>
      <c r="AS73" s="32">
        <f t="shared" si="16"/>
        <v>0</v>
      </c>
      <c r="AT73" s="32">
        <f t="shared" si="16"/>
        <v>0</v>
      </c>
      <c r="AU73" s="32">
        <f t="shared" si="16"/>
        <v>0</v>
      </c>
      <c r="AV73" s="32">
        <f t="shared" si="16"/>
        <v>0</v>
      </c>
      <c r="AW73" s="32">
        <f t="shared" si="16"/>
        <v>0</v>
      </c>
      <c r="AX73" s="32">
        <f t="shared" si="16"/>
        <v>0</v>
      </c>
      <c r="AY73" s="32">
        <f t="shared" si="16"/>
        <v>0</v>
      </c>
      <c r="AZ73" s="32">
        <f t="shared" si="16"/>
        <v>0</v>
      </c>
      <c r="BA73" s="32">
        <f t="shared" si="16"/>
        <v>0</v>
      </c>
      <c r="BB73" s="32">
        <f t="shared" si="16"/>
        <v>0</v>
      </c>
      <c r="BC73" s="32">
        <f t="shared" si="16"/>
        <v>0</v>
      </c>
      <c r="BD73" s="32">
        <f t="shared" si="16"/>
        <v>0</v>
      </c>
      <c r="BE73" s="32">
        <f t="shared" si="16"/>
        <v>0</v>
      </c>
      <c r="BF73" s="32">
        <f t="shared" si="16"/>
        <v>0</v>
      </c>
      <c r="BG73" s="32">
        <f t="shared" si="16"/>
        <v>0</v>
      </c>
      <c r="BH73" s="32">
        <f t="shared" si="16"/>
        <v>0</v>
      </c>
      <c r="BI73" s="32">
        <f t="shared" si="16"/>
        <v>0</v>
      </c>
    </row>
    <row r="74" spans="1:61" hidden="1" x14ac:dyDescent="0.3">
      <c r="A74" s="2" t="s">
        <v>182</v>
      </c>
      <c r="B74" s="32">
        <f>B24</f>
        <v>300000</v>
      </c>
      <c r="C74" s="32">
        <f t="shared" ref="C74:BI74" si="17">C24</f>
        <v>300000</v>
      </c>
      <c r="D74" s="32">
        <f t="shared" si="17"/>
        <v>300000</v>
      </c>
      <c r="E74" s="32">
        <f t="shared" si="17"/>
        <v>300000</v>
      </c>
      <c r="F74" s="32">
        <f t="shared" si="17"/>
        <v>300000</v>
      </c>
      <c r="G74" s="32">
        <f t="shared" si="17"/>
        <v>300000</v>
      </c>
      <c r="H74" s="32">
        <f t="shared" si="17"/>
        <v>300000</v>
      </c>
      <c r="I74" s="32">
        <f t="shared" si="17"/>
        <v>300000</v>
      </c>
      <c r="J74" s="32">
        <f t="shared" si="17"/>
        <v>300000</v>
      </c>
      <c r="K74" s="32">
        <f t="shared" si="17"/>
        <v>300000</v>
      </c>
      <c r="L74" s="32">
        <f t="shared" si="17"/>
        <v>300000</v>
      </c>
      <c r="M74" s="32">
        <f t="shared" si="17"/>
        <v>300000</v>
      </c>
      <c r="N74" s="32">
        <f t="shared" si="17"/>
        <v>500000</v>
      </c>
      <c r="O74" s="32">
        <f t="shared" si="17"/>
        <v>500000</v>
      </c>
      <c r="P74" s="32">
        <f t="shared" si="17"/>
        <v>500000</v>
      </c>
      <c r="Q74" s="32">
        <f t="shared" si="17"/>
        <v>500000</v>
      </c>
      <c r="R74" s="32">
        <f t="shared" si="17"/>
        <v>500000</v>
      </c>
      <c r="S74" s="32">
        <f t="shared" si="17"/>
        <v>500000</v>
      </c>
      <c r="T74" s="32">
        <f t="shared" si="17"/>
        <v>500000</v>
      </c>
      <c r="U74" s="32">
        <f t="shared" si="17"/>
        <v>500000</v>
      </c>
      <c r="V74" s="32">
        <f t="shared" si="17"/>
        <v>500000</v>
      </c>
      <c r="W74" s="32">
        <f t="shared" si="17"/>
        <v>500000</v>
      </c>
      <c r="X74" s="32">
        <f t="shared" si="17"/>
        <v>500000</v>
      </c>
      <c r="Y74" s="32">
        <f t="shared" si="17"/>
        <v>500000</v>
      </c>
      <c r="Z74" s="32">
        <f t="shared" si="17"/>
        <v>800000</v>
      </c>
      <c r="AA74" s="32">
        <f t="shared" si="17"/>
        <v>800000</v>
      </c>
      <c r="AB74" s="32">
        <f t="shared" si="17"/>
        <v>800000</v>
      </c>
      <c r="AC74" s="32">
        <f t="shared" si="17"/>
        <v>800000</v>
      </c>
      <c r="AD74" s="32">
        <f t="shared" si="17"/>
        <v>800000</v>
      </c>
      <c r="AE74" s="32">
        <f t="shared" si="17"/>
        <v>800000</v>
      </c>
      <c r="AF74" s="32">
        <f t="shared" si="17"/>
        <v>800000</v>
      </c>
      <c r="AG74" s="32">
        <f t="shared" si="17"/>
        <v>800000</v>
      </c>
      <c r="AH74" s="32">
        <f t="shared" si="17"/>
        <v>800000</v>
      </c>
      <c r="AI74" s="32">
        <f t="shared" si="17"/>
        <v>800000</v>
      </c>
      <c r="AJ74" s="32">
        <f t="shared" si="17"/>
        <v>800000</v>
      </c>
      <c r="AK74" s="32">
        <f t="shared" si="17"/>
        <v>800000</v>
      </c>
      <c r="AL74" s="32">
        <f t="shared" si="17"/>
        <v>1200000</v>
      </c>
      <c r="AM74" s="32">
        <f t="shared" si="17"/>
        <v>1200000</v>
      </c>
      <c r="AN74" s="32">
        <f t="shared" si="17"/>
        <v>1200000</v>
      </c>
      <c r="AO74" s="32">
        <f t="shared" si="17"/>
        <v>1200000</v>
      </c>
      <c r="AP74" s="32">
        <f t="shared" si="17"/>
        <v>1200000</v>
      </c>
      <c r="AQ74" s="32">
        <f t="shared" si="17"/>
        <v>1200000</v>
      </c>
      <c r="AR74" s="32">
        <f t="shared" si="17"/>
        <v>1200000</v>
      </c>
      <c r="AS74" s="32">
        <f t="shared" si="17"/>
        <v>1200000</v>
      </c>
      <c r="AT74" s="32">
        <f t="shared" si="17"/>
        <v>1200000</v>
      </c>
      <c r="AU74" s="32">
        <f t="shared" si="17"/>
        <v>1200000</v>
      </c>
      <c r="AV74" s="32">
        <f t="shared" si="17"/>
        <v>1200000</v>
      </c>
      <c r="AW74" s="32">
        <f t="shared" si="17"/>
        <v>1200000</v>
      </c>
      <c r="AX74" s="32">
        <f t="shared" si="17"/>
        <v>1500000</v>
      </c>
      <c r="AY74" s="32">
        <f t="shared" si="17"/>
        <v>0</v>
      </c>
      <c r="AZ74" s="32">
        <f t="shared" si="17"/>
        <v>0</v>
      </c>
      <c r="BA74" s="32">
        <f t="shared" si="17"/>
        <v>0</v>
      </c>
      <c r="BB74" s="32">
        <f t="shared" si="17"/>
        <v>0</v>
      </c>
      <c r="BC74" s="32">
        <f t="shared" si="17"/>
        <v>0</v>
      </c>
      <c r="BD74" s="32">
        <f t="shared" si="17"/>
        <v>0</v>
      </c>
      <c r="BE74" s="32">
        <f t="shared" si="17"/>
        <v>0</v>
      </c>
      <c r="BF74" s="32">
        <f t="shared" si="17"/>
        <v>0</v>
      </c>
      <c r="BG74" s="32">
        <f t="shared" si="17"/>
        <v>0</v>
      </c>
      <c r="BH74" s="32">
        <f t="shared" si="17"/>
        <v>0</v>
      </c>
      <c r="BI74" s="32">
        <f t="shared" si="17"/>
        <v>0</v>
      </c>
    </row>
    <row r="75" spans="1:61" hidden="1" x14ac:dyDescent="0.3">
      <c r="A75" s="33" t="s">
        <v>183</v>
      </c>
      <c r="B75" s="32">
        <f>B38</f>
        <v>17000</v>
      </c>
      <c r="C75" s="32">
        <f t="shared" ref="C75:BI75" si="18">C38</f>
        <v>17000</v>
      </c>
      <c r="D75" s="32">
        <f t="shared" si="18"/>
        <v>17000</v>
      </c>
      <c r="E75" s="32">
        <f t="shared" si="18"/>
        <v>17000</v>
      </c>
      <c r="F75" s="32">
        <f t="shared" si="18"/>
        <v>17000</v>
      </c>
      <c r="G75" s="32">
        <f t="shared" si="18"/>
        <v>17000</v>
      </c>
      <c r="H75" s="32">
        <f t="shared" si="18"/>
        <v>17000</v>
      </c>
      <c r="I75" s="32">
        <f t="shared" si="18"/>
        <v>17000</v>
      </c>
      <c r="J75" s="32">
        <f t="shared" si="18"/>
        <v>17000</v>
      </c>
      <c r="K75" s="32">
        <f t="shared" si="18"/>
        <v>17000</v>
      </c>
      <c r="L75" s="32">
        <f t="shared" si="18"/>
        <v>17000</v>
      </c>
      <c r="M75" s="32">
        <f t="shared" si="18"/>
        <v>17000</v>
      </c>
      <c r="N75" s="32">
        <f t="shared" si="18"/>
        <v>517800</v>
      </c>
      <c r="O75" s="32">
        <f t="shared" si="18"/>
        <v>517800</v>
      </c>
      <c r="P75" s="32">
        <f t="shared" si="18"/>
        <v>517800</v>
      </c>
      <c r="Q75" s="32">
        <f t="shared" si="18"/>
        <v>517800</v>
      </c>
      <c r="R75" s="32">
        <f t="shared" si="18"/>
        <v>517800</v>
      </c>
      <c r="S75" s="32">
        <f t="shared" si="18"/>
        <v>517800</v>
      </c>
      <c r="T75" s="32">
        <f t="shared" si="18"/>
        <v>517800</v>
      </c>
      <c r="U75" s="32">
        <f t="shared" si="18"/>
        <v>517800</v>
      </c>
      <c r="V75" s="32">
        <f t="shared" si="18"/>
        <v>517800</v>
      </c>
      <c r="W75" s="32">
        <f t="shared" si="18"/>
        <v>517800</v>
      </c>
      <c r="X75" s="32">
        <f t="shared" si="18"/>
        <v>517800</v>
      </c>
      <c r="Y75" s="32">
        <f t="shared" si="18"/>
        <v>517800</v>
      </c>
      <c r="Z75" s="32">
        <f t="shared" si="18"/>
        <v>618600</v>
      </c>
      <c r="AA75" s="32">
        <f t="shared" si="18"/>
        <v>618600</v>
      </c>
      <c r="AB75" s="32">
        <f t="shared" si="18"/>
        <v>618600</v>
      </c>
      <c r="AC75" s="32">
        <f t="shared" si="18"/>
        <v>618600</v>
      </c>
      <c r="AD75" s="32">
        <f t="shared" si="18"/>
        <v>618600</v>
      </c>
      <c r="AE75" s="32">
        <f t="shared" si="18"/>
        <v>618600</v>
      </c>
      <c r="AF75" s="32">
        <f t="shared" si="18"/>
        <v>618600</v>
      </c>
      <c r="AG75" s="32">
        <f t="shared" si="18"/>
        <v>618600</v>
      </c>
      <c r="AH75" s="32">
        <f t="shared" si="18"/>
        <v>618600</v>
      </c>
      <c r="AI75" s="32">
        <f t="shared" si="18"/>
        <v>618600</v>
      </c>
      <c r="AJ75" s="32">
        <f t="shared" si="18"/>
        <v>618600</v>
      </c>
      <c r="AK75" s="32">
        <f t="shared" si="18"/>
        <v>618600</v>
      </c>
      <c r="AL75" s="32">
        <f t="shared" si="18"/>
        <v>719400</v>
      </c>
      <c r="AM75" s="32">
        <f t="shared" si="18"/>
        <v>719400</v>
      </c>
      <c r="AN75" s="32">
        <f t="shared" si="18"/>
        <v>719400</v>
      </c>
      <c r="AO75" s="32">
        <f t="shared" si="18"/>
        <v>719400</v>
      </c>
      <c r="AP75" s="32">
        <f t="shared" si="18"/>
        <v>719400</v>
      </c>
      <c r="AQ75" s="32">
        <f t="shared" si="18"/>
        <v>719400</v>
      </c>
      <c r="AR75" s="32">
        <f t="shared" si="18"/>
        <v>719400</v>
      </c>
      <c r="AS75" s="32">
        <f t="shared" si="18"/>
        <v>719400</v>
      </c>
      <c r="AT75" s="32">
        <f t="shared" si="18"/>
        <v>719400</v>
      </c>
      <c r="AU75" s="32">
        <f t="shared" si="18"/>
        <v>719400</v>
      </c>
      <c r="AV75" s="32">
        <f t="shared" si="18"/>
        <v>719400</v>
      </c>
      <c r="AW75" s="32">
        <f t="shared" si="18"/>
        <v>719400</v>
      </c>
      <c r="AX75" s="32">
        <f t="shared" si="18"/>
        <v>820200</v>
      </c>
      <c r="AY75" s="32">
        <f t="shared" si="18"/>
        <v>0</v>
      </c>
      <c r="AZ75" s="32">
        <f t="shared" si="18"/>
        <v>0</v>
      </c>
      <c r="BA75" s="32">
        <f t="shared" si="18"/>
        <v>0</v>
      </c>
      <c r="BB75" s="32">
        <f t="shared" si="18"/>
        <v>0</v>
      </c>
      <c r="BC75" s="32">
        <f t="shared" si="18"/>
        <v>0</v>
      </c>
      <c r="BD75" s="32">
        <f t="shared" si="18"/>
        <v>0</v>
      </c>
      <c r="BE75" s="32">
        <f t="shared" si="18"/>
        <v>0</v>
      </c>
      <c r="BF75" s="32">
        <f t="shared" si="18"/>
        <v>0</v>
      </c>
      <c r="BG75" s="32">
        <f t="shared" si="18"/>
        <v>0</v>
      </c>
      <c r="BH75" s="32">
        <f t="shared" si="18"/>
        <v>0</v>
      </c>
      <c r="BI75" s="32">
        <f t="shared" si="18"/>
        <v>0</v>
      </c>
    </row>
    <row r="76" spans="1:61" hidden="1" x14ac:dyDescent="0.3">
      <c r="A76" s="33" t="s">
        <v>184</v>
      </c>
      <c r="B76" s="32">
        <f>B59+B69</f>
        <v>0</v>
      </c>
      <c r="C76" s="32">
        <f t="shared" ref="C76:BI76" si="19">C59+C69</f>
        <v>0</v>
      </c>
      <c r="D76" s="32">
        <f t="shared" si="19"/>
        <v>0</v>
      </c>
      <c r="E76" s="32">
        <f t="shared" si="19"/>
        <v>0</v>
      </c>
      <c r="F76" s="32">
        <f t="shared" si="19"/>
        <v>0</v>
      </c>
      <c r="G76" s="32">
        <f t="shared" si="19"/>
        <v>0</v>
      </c>
      <c r="H76" s="32">
        <f t="shared" si="19"/>
        <v>0</v>
      </c>
      <c r="I76" s="32">
        <f t="shared" si="19"/>
        <v>0</v>
      </c>
      <c r="J76" s="32">
        <f t="shared" si="19"/>
        <v>0</v>
      </c>
      <c r="K76" s="32">
        <f t="shared" si="19"/>
        <v>0</v>
      </c>
      <c r="L76" s="32">
        <f t="shared" si="19"/>
        <v>0</v>
      </c>
      <c r="M76" s="32">
        <f t="shared" si="19"/>
        <v>0</v>
      </c>
      <c r="N76" s="32">
        <f t="shared" si="19"/>
        <v>3930466.6666666665</v>
      </c>
      <c r="O76" s="32">
        <f t="shared" si="19"/>
        <v>3930466.6666666665</v>
      </c>
      <c r="P76" s="32">
        <f t="shared" si="19"/>
        <v>3930466.6666666665</v>
      </c>
      <c r="Q76" s="32">
        <f t="shared" si="19"/>
        <v>3930466.6666666665</v>
      </c>
      <c r="R76" s="32">
        <f t="shared" si="19"/>
        <v>3930466.6666666665</v>
      </c>
      <c r="S76" s="32">
        <f t="shared" si="19"/>
        <v>3930466.6666666665</v>
      </c>
      <c r="T76" s="32">
        <f t="shared" si="19"/>
        <v>3930466.6666666665</v>
      </c>
      <c r="U76" s="32">
        <f t="shared" si="19"/>
        <v>3930466.6666666665</v>
      </c>
      <c r="V76" s="32">
        <f t="shared" si="19"/>
        <v>3930466.6666666665</v>
      </c>
      <c r="W76" s="32">
        <f t="shared" si="19"/>
        <v>3930466.6666666665</v>
      </c>
      <c r="X76" s="32">
        <f t="shared" si="19"/>
        <v>3930466.6666666665</v>
      </c>
      <c r="Y76" s="32">
        <f t="shared" si="19"/>
        <v>3930466.6666666665</v>
      </c>
      <c r="Z76" s="32">
        <f t="shared" si="19"/>
        <v>7593056</v>
      </c>
      <c r="AA76" s="32">
        <f t="shared" si="19"/>
        <v>7593056</v>
      </c>
      <c r="AB76" s="32">
        <f t="shared" si="19"/>
        <v>7593056</v>
      </c>
      <c r="AC76" s="32">
        <f t="shared" si="19"/>
        <v>7593056</v>
      </c>
      <c r="AD76" s="32">
        <f t="shared" si="19"/>
        <v>7593056</v>
      </c>
      <c r="AE76" s="32">
        <f t="shared" si="19"/>
        <v>7593056</v>
      </c>
      <c r="AF76" s="32">
        <f t="shared" si="19"/>
        <v>7593056</v>
      </c>
      <c r="AG76" s="32">
        <f t="shared" si="19"/>
        <v>7593056</v>
      </c>
      <c r="AH76" s="32">
        <f t="shared" si="19"/>
        <v>7593056</v>
      </c>
      <c r="AI76" s="32">
        <f t="shared" si="19"/>
        <v>7593056</v>
      </c>
      <c r="AJ76" s="32">
        <f t="shared" si="19"/>
        <v>7593056</v>
      </c>
      <c r="AK76" s="32">
        <f t="shared" si="19"/>
        <v>7593056</v>
      </c>
      <c r="AL76" s="32">
        <f t="shared" si="19"/>
        <v>7908933.333333333</v>
      </c>
      <c r="AM76" s="32">
        <f t="shared" si="19"/>
        <v>7908933.333333333</v>
      </c>
      <c r="AN76" s="32">
        <f t="shared" si="19"/>
        <v>7908933.333333333</v>
      </c>
      <c r="AO76" s="32">
        <f t="shared" si="19"/>
        <v>7908933.333333333</v>
      </c>
      <c r="AP76" s="32">
        <f t="shared" si="19"/>
        <v>7908933.333333333</v>
      </c>
      <c r="AQ76" s="32">
        <f t="shared" si="19"/>
        <v>7908933.333333333</v>
      </c>
      <c r="AR76" s="32">
        <f t="shared" si="19"/>
        <v>7908933.333333333</v>
      </c>
      <c r="AS76" s="32">
        <f t="shared" si="19"/>
        <v>7908933.333333333</v>
      </c>
      <c r="AT76" s="32">
        <f t="shared" si="19"/>
        <v>7908933.333333333</v>
      </c>
      <c r="AU76" s="32">
        <f t="shared" si="19"/>
        <v>7908933.333333333</v>
      </c>
      <c r="AV76" s="32">
        <f t="shared" si="19"/>
        <v>7908933.333333333</v>
      </c>
      <c r="AW76" s="32">
        <f t="shared" si="19"/>
        <v>7908933.333333333</v>
      </c>
      <c r="AX76" s="32">
        <f t="shared" si="19"/>
        <v>7932933.333333333</v>
      </c>
      <c r="AY76" s="32">
        <f t="shared" si="19"/>
        <v>0</v>
      </c>
      <c r="AZ76" s="32">
        <f t="shared" si="19"/>
        <v>0</v>
      </c>
      <c r="BA76" s="32">
        <f t="shared" si="19"/>
        <v>0</v>
      </c>
      <c r="BB76" s="32">
        <f t="shared" si="19"/>
        <v>0</v>
      </c>
      <c r="BC76" s="32">
        <f t="shared" si="19"/>
        <v>0</v>
      </c>
      <c r="BD76" s="32">
        <f t="shared" si="19"/>
        <v>0</v>
      </c>
      <c r="BE76" s="32">
        <f t="shared" si="19"/>
        <v>0</v>
      </c>
      <c r="BF76" s="32">
        <f t="shared" si="19"/>
        <v>0</v>
      </c>
      <c r="BG76" s="32">
        <f t="shared" si="19"/>
        <v>0</v>
      </c>
      <c r="BH76" s="32">
        <f t="shared" si="19"/>
        <v>0</v>
      </c>
      <c r="BI76" s="32">
        <f t="shared" si="19"/>
        <v>0</v>
      </c>
    </row>
    <row r="77" spans="1:61" hidden="1" x14ac:dyDescent="0.3">
      <c r="A77" s="8" t="s">
        <v>180</v>
      </c>
      <c r="B77" s="9">
        <f>SUM(B73:B76)</f>
        <v>317000</v>
      </c>
      <c r="C77" s="9">
        <f t="shared" ref="C77:BI77" si="20">SUM(C73:C76)</f>
        <v>317000</v>
      </c>
      <c r="D77" s="9">
        <f t="shared" si="20"/>
        <v>317000</v>
      </c>
      <c r="E77" s="9">
        <f t="shared" si="20"/>
        <v>317000</v>
      </c>
      <c r="F77" s="9">
        <f t="shared" si="20"/>
        <v>317000</v>
      </c>
      <c r="G77" s="9">
        <f t="shared" si="20"/>
        <v>317000</v>
      </c>
      <c r="H77" s="9">
        <f t="shared" si="20"/>
        <v>317000</v>
      </c>
      <c r="I77" s="9">
        <f t="shared" si="20"/>
        <v>317000</v>
      </c>
      <c r="J77" s="9">
        <f t="shared" si="20"/>
        <v>317000</v>
      </c>
      <c r="K77" s="9">
        <f t="shared" si="20"/>
        <v>317000</v>
      </c>
      <c r="L77" s="9">
        <f t="shared" si="20"/>
        <v>317000</v>
      </c>
      <c r="M77" s="9">
        <f t="shared" si="20"/>
        <v>317000</v>
      </c>
      <c r="N77" s="9">
        <f t="shared" si="20"/>
        <v>4948266.666666666</v>
      </c>
      <c r="O77" s="9">
        <f t="shared" si="20"/>
        <v>4948266.666666666</v>
      </c>
      <c r="P77" s="9">
        <f t="shared" si="20"/>
        <v>4948266.666666666</v>
      </c>
      <c r="Q77" s="9">
        <f t="shared" si="20"/>
        <v>4948266.666666666</v>
      </c>
      <c r="R77" s="9">
        <f t="shared" si="20"/>
        <v>4948266.666666666</v>
      </c>
      <c r="S77" s="9">
        <f t="shared" si="20"/>
        <v>4948266.666666666</v>
      </c>
      <c r="T77" s="9">
        <f t="shared" si="20"/>
        <v>4948266.666666666</v>
      </c>
      <c r="U77" s="9">
        <f t="shared" si="20"/>
        <v>4948266.666666666</v>
      </c>
      <c r="V77" s="9">
        <f t="shared" si="20"/>
        <v>4948266.666666666</v>
      </c>
      <c r="W77" s="9">
        <f t="shared" si="20"/>
        <v>4948266.666666666</v>
      </c>
      <c r="X77" s="9">
        <f t="shared" si="20"/>
        <v>4948266.666666666</v>
      </c>
      <c r="Y77" s="9">
        <f t="shared" si="20"/>
        <v>4948266.666666666</v>
      </c>
      <c r="Z77" s="9">
        <f t="shared" si="20"/>
        <v>9011656</v>
      </c>
      <c r="AA77" s="9">
        <f t="shared" si="20"/>
        <v>9011656</v>
      </c>
      <c r="AB77" s="9">
        <f t="shared" si="20"/>
        <v>9011656</v>
      </c>
      <c r="AC77" s="9">
        <f t="shared" si="20"/>
        <v>9011656</v>
      </c>
      <c r="AD77" s="9">
        <f t="shared" si="20"/>
        <v>9011656</v>
      </c>
      <c r="AE77" s="9">
        <f t="shared" si="20"/>
        <v>9011656</v>
      </c>
      <c r="AF77" s="9">
        <f t="shared" si="20"/>
        <v>9011656</v>
      </c>
      <c r="AG77" s="9">
        <f t="shared" si="20"/>
        <v>9011656</v>
      </c>
      <c r="AH77" s="9">
        <f t="shared" si="20"/>
        <v>9011656</v>
      </c>
      <c r="AI77" s="9">
        <f t="shared" si="20"/>
        <v>9011656</v>
      </c>
      <c r="AJ77" s="9">
        <f t="shared" si="20"/>
        <v>9011656</v>
      </c>
      <c r="AK77" s="9">
        <f t="shared" si="20"/>
        <v>9011656</v>
      </c>
      <c r="AL77" s="9">
        <f t="shared" si="20"/>
        <v>9828333.3333333321</v>
      </c>
      <c r="AM77" s="9">
        <f t="shared" si="20"/>
        <v>9828333.3333333321</v>
      </c>
      <c r="AN77" s="9">
        <f t="shared" si="20"/>
        <v>9828333.3333333321</v>
      </c>
      <c r="AO77" s="9">
        <f t="shared" si="20"/>
        <v>9828333.3333333321</v>
      </c>
      <c r="AP77" s="9">
        <f t="shared" si="20"/>
        <v>9828333.3333333321</v>
      </c>
      <c r="AQ77" s="9">
        <f t="shared" si="20"/>
        <v>9828333.3333333321</v>
      </c>
      <c r="AR77" s="9">
        <f t="shared" si="20"/>
        <v>9828333.3333333321</v>
      </c>
      <c r="AS77" s="9">
        <f t="shared" si="20"/>
        <v>9828333.3333333321</v>
      </c>
      <c r="AT77" s="9">
        <f t="shared" si="20"/>
        <v>9828333.3333333321</v>
      </c>
      <c r="AU77" s="9">
        <f t="shared" si="20"/>
        <v>9828333.3333333321</v>
      </c>
      <c r="AV77" s="9">
        <f t="shared" si="20"/>
        <v>9828333.3333333321</v>
      </c>
      <c r="AW77" s="9">
        <f t="shared" si="20"/>
        <v>9828333.3333333321</v>
      </c>
      <c r="AX77" s="9">
        <f t="shared" si="20"/>
        <v>10253133.333333332</v>
      </c>
      <c r="AY77" s="9">
        <f t="shared" si="20"/>
        <v>0</v>
      </c>
      <c r="AZ77" s="9">
        <f t="shared" si="20"/>
        <v>0</v>
      </c>
      <c r="BA77" s="9">
        <f t="shared" si="20"/>
        <v>0</v>
      </c>
      <c r="BB77" s="9">
        <f t="shared" si="20"/>
        <v>0</v>
      </c>
      <c r="BC77" s="9">
        <f t="shared" si="20"/>
        <v>0</v>
      </c>
      <c r="BD77" s="9">
        <f t="shared" si="20"/>
        <v>0</v>
      </c>
      <c r="BE77" s="9">
        <f t="shared" si="20"/>
        <v>0</v>
      </c>
      <c r="BF77" s="9">
        <f t="shared" si="20"/>
        <v>0</v>
      </c>
      <c r="BG77" s="9">
        <f t="shared" si="20"/>
        <v>0</v>
      </c>
      <c r="BH77" s="9">
        <f t="shared" si="20"/>
        <v>0</v>
      </c>
      <c r="BI77" s="9">
        <f t="shared" si="20"/>
        <v>0</v>
      </c>
    </row>
    <row r="78" spans="1:61" hidden="1" x14ac:dyDescent="0.3"/>
    <row r="79" spans="1:61" hidden="1" x14ac:dyDescent="0.3">
      <c r="A79" s="120" t="s">
        <v>185</v>
      </c>
      <c r="B79" s="103">
        <f>Año1</f>
        <v>2027</v>
      </c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>
        <f>Año2</f>
        <v>2028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>
        <f>Año3</f>
        <v>2029</v>
      </c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>
        <f>Año4</f>
        <v>2030</v>
      </c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>
        <f>Año5</f>
        <v>2031</v>
      </c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</row>
    <row r="80" spans="1:61" hidden="1" x14ac:dyDescent="0.3">
      <c r="A80" s="120"/>
      <c r="B80" s="4" t="s">
        <v>67</v>
      </c>
      <c r="C80" s="4" t="s">
        <v>68</v>
      </c>
      <c r="D80" s="4" t="s">
        <v>69</v>
      </c>
      <c r="E80" s="4" t="s">
        <v>70</v>
      </c>
      <c r="F80" s="4" t="s">
        <v>71</v>
      </c>
      <c r="G80" s="4" t="s">
        <v>72</v>
      </c>
      <c r="H80" s="4" t="s">
        <v>73</v>
      </c>
      <c r="I80" s="4" t="s">
        <v>74</v>
      </c>
      <c r="J80" s="4" t="s">
        <v>75</v>
      </c>
      <c r="K80" s="4" t="s">
        <v>76</v>
      </c>
      <c r="L80" s="4" t="s">
        <v>77</v>
      </c>
      <c r="M80" s="4" t="s">
        <v>78</v>
      </c>
      <c r="N80" s="4" t="s">
        <v>79</v>
      </c>
      <c r="O80" s="4" t="s">
        <v>80</v>
      </c>
      <c r="P80" s="4" t="s">
        <v>81</v>
      </c>
      <c r="Q80" s="4" t="s">
        <v>82</v>
      </c>
      <c r="R80" s="4" t="s">
        <v>83</v>
      </c>
      <c r="S80" s="4" t="s">
        <v>84</v>
      </c>
      <c r="T80" s="4" t="s">
        <v>85</v>
      </c>
      <c r="U80" s="4" t="s">
        <v>86</v>
      </c>
      <c r="V80" s="4" t="s">
        <v>87</v>
      </c>
      <c r="W80" s="4" t="s">
        <v>88</v>
      </c>
      <c r="X80" s="4" t="s">
        <v>89</v>
      </c>
      <c r="Y80" s="4" t="s">
        <v>90</v>
      </c>
      <c r="Z80" s="4" t="s">
        <v>91</v>
      </c>
      <c r="AA80" s="4" t="s">
        <v>92</v>
      </c>
      <c r="AB80" s="4" t="s">
        <v>93</v>
      </c>
      <c r="AC80" s="4" t="s">
        <v>94</v>
      </c>
      <c r="AD80" s="4" t="s">
        <v>95</v>
      </c>
      <c r="AE80" s="4" t="s">
        <v>96</v>
      </c>
      <c r="AF80" s="4" t="s">
        <v>97</v>
      </c>
      <c r="AG80" s="4" t="s">
        <v>98</v>
      </c>
      <c r="AH80" s="4" t="s">
        <v>99</v>
      </c>
      <c r="AI80" s="4" t="s">
        <v>100</v>
      </c>
      <c r="AJ80" s="4" t="s">
        <v>101</v>
      </c>
      <c r="AK80" s="4" t="s">
        <v>102</v>
      </c>
      <c r="AL80" s="4" t="s">
        <v>103</v>
      </c>
      <c r="AM80" s="4" t="s">
        <v>104</v>
      </c>
      <c r="AN80" s="4" t="s">
        <v>105</v>
      </c>
      <c r="AO80" s="4" t="s">
        <v>106</v>
      </c>
      <c r="AP80" s="4" t="s">
        <v>107</v>
      </c>
      <c r="AQ80" s="4" t="s">
        <v>108</v>
      </c>
      <c r="AR80" s="4" t="s">
        <v>109</v>
      </c>
      <c r="AS80" s="4" t="s">
        <v>110</v>
      </c>
      <c r="AT80" s="4" t="s">
        <v>111</v>
      </c>
      <c r="AU80" s="4" t="s">
        <v>112</v>
      </c>
      <c r="AV80" s="4" t="s">
        <v>113</v>
      </c>
      <c r="AW80" s="4" t="s">
        <v>114</v>
      </c>
      <c r="AX80" s="4" t="s">
        <v>115</v>
      </c>
      <c r="AY80" s="4" t="s">
        <v>116</v>
      </c>
      <c r="AZ80" s="4" t="s">
        <v>117</v>
      </c>
      <c r="BA80" s="4" t="s">
        <v>118</v>
      </c>
      <c r="BB80" s="4" t="s">
        <v>119</v>
      </c>
      <c r="BC80" s="4" t="s">
        <v>120</v>
      </c>
      <c r="BD80" s="4" t="s">
        <v>121</v>
      </c>
      <c r="BE80" s="4" t="s">
        <v>122</v>
      </c>
      <c r="BF80" s="4" t="s">
        <v>123</v>
      </c>
      <c r="BG80" s="4" t="s">
        <v>124</v>
      </c>
      <c r="BH80" s="4" t="s">
        <v>125</v>
      </c>
      <c r="BI80" s="4" t="s">
        <v>126</v>
      </c>
    </row>
    <row r="81" spans="1:61" hidden="1" x14ac:dyDescent="0.3">
      <c r="A81" s="2" t="s">
        <v>186</v>
      </c>
      <c r="B81" s="32">
        <f>SUM(COSTOS!$B$54:B54)</f>
        <v>291666.66666666663</v>
      </c>
      <c r="C81" s="32">
        <f>SUM(COSTOS!$B$54:C54)</f>
        <v>583333.33333333326</v>
      </c>
      <c r="D81" s="32">
        <f>SUM(COSTOS!$B$54:D54)</f>
        <v>874999.99999999988</v>
      </c>
      <c r="E81" s="32">
        <f>SUM(COSTOS!$B$54:E54)</f>
        <v>1166666.6666666665</v>
      </c>
      <c r="F81" s="32">
        <f>SUM(COSTOS!$B$54:F54)</f>
        <v>1458333.333333333</v>
      </c>
      <c r="G81" s="32">
        <f>SUM(COSTOS!$B$54:G54)</f>
        <v>1749999.9999999995</v>
      </c>
      <c r="H81" s="32">
        <f>SUM(COSTOS!$B$54:H54)</f>
        <v>2041666.666666666</v>
      </c>
      <c r="I81" s="32">
        <f>SUM(COSTOS!$B$54:I54)</f>
        <v>2333333.3333333326</v>
      </c>
      <c r="J81" s="32">
        <f>SUM(COSTOS!$B$54:J54)</f>
        <v>2624999.9999999991</v>
      </c>
      <c r="K81" s="32">
        <f>SUM(COSTOS!$B$54:K54)</f>
        <v>2916666.6666666656</v>
      </c>
      <c r="L81" s="32">
        <f>SUM(COSTOS!$B$54:L54)</f>
        <v>3208333.3333333321</v>
      </c>
      <c r="M81" s="32">
        <f>SUM(COSTOS!$B$54:M54)</f>
        <v>3499999.9999999986</v>
      </c>
      <c r="N81" s="32">
        <f>SUM(COSTOS!$N$54:N54)</f>
        <v>616666.66666666663</v>
      </c>
      <c r="O81" s="32">
        <f>SUM(COSTOS!$N$54:O54)</f>
        <v>1233333.3333333333</v>
      </c>
      <c r="P81" s="32">
        <f>SUM(COSTOS!$N$54:P54)</f>
        <v>1850000</v>
      </c>
      <c r="Q81" s="32">
        <f>SUM(COSTOS!$N$54:Q54)</f>
        <v>2466666.6666666665</v>
      </c>
      <c r="R81" s="32">
        <f>SUM(COSTOS!$N$54:R54)</f>
        <v>3083333.333333333</v>
      </c>
      <c r="S81" s="32">
        <f>SUM(COSTOS!$N$54:S54)</f>
        <v>3699999.9999999995</v>
      </c>
      <c r="T81" s="32">
        <f>SUM(COSTOS!$N$54:T54)</f>
        <v>4316666.666666666</v>
      </c>
      <c r="U81" s="32">
        <f>SUM(COSTOS!$N$54:U54)</f>
        <v>4933333.333333333</v>
      </c>
      <c r="V81" s="32">
        <f>SUM(COSTOS!$N$54:V54)</f>
        <v>5550000</v>
      </c>
      <c r="W81" s="32">
        <f>SUM(COSTOS!$N$54:W54)</f>
        <v>6166666.666666667</v>
      </c>
      <c r="X81" s="32">
        <f>SUM(COSTOS!$N$54:X54)</f>
        <v>6783333.333333334</v>
      </c>
      <c r="Y81" s="32">
        <f>SUM(COSTOS!$N$54:Y54)</f>
        <v>7400000.0000000009</v>
      </c>
      <c r="Z81" s="32">
        <f>SUM(COSTOS!$Z$54:Z54)</f>
        <v>1108333.3333333333</v>
      </c>
      <c r="AA81" s="32">
        <f>SUM(COSTOS!$Z$54:AA54)</f>
        <v>2216666.6666666665</v>
      </c>
      <c r="AB81" s="32">
        <f>SUM(COSTOS!$Z$54:AB54)</f>
        <v>3325000</v>
      </c>
      <c r="AC81" s="32">
        <f>SUM(COSTOS!$Z$54:AC54)</f>
        <v>4433333.333333333</v>
      </c>
      <c r="AD81" s="32">
        <f>SUM(COSTOS!$Z$54:AD54)</f>
        <v>5541666.666666666</v>
      </c>
      <c r="AE81" s="32">
        <f>SUM(COSTOS!$Z$54:AE54)</f>
        <v>6649999.9999999991</v>
      </c>
      <c r="AF81" s="32">
        <f>SUM(COSTOS!$Z$54:AF54)</f>
        <v>7758333.3333333321</v>
      </c>
      <c r="AG81" s="32">
        <f>SUM(COSTOS!$Z$54:AG54)</f>
        <v>8866666.666666666</v>
      </c>
      <c r="AH81" s="32">
        <f>SUM(COSTOS!$Z$54:AH54)</f>
        <v>9975000</v>
      </c>
      <c r="AI81" s="32">
        <f>SUM(COSTOS!$Z$54:AI54)</f>
        <v>11083333.333333334</v>
      </c>
      <c r="AJ81" s="32">
        <f>SUM(COSTOS!$Z$54:AJ54)</f>
        <v>12191666.666666668</v>
      </c>
      <c r="AK81" s="32">
        <f>SUM(COSTOS!$Z$54:AK54)</f>
        <v>13300000.000000002</v>
      </c>
      <c r="AL81" s="32">
        <f>SUM(COSTOS!$AL$54:AL54)</f>
        <v>1791666.6666666665</v>
      </c>
      <c r="AM81" s="32">
        <f>SUM(COSTOS!$AL$54:AM54)</f>
        <v>3583333.333333333</v>
      </c>
      <c r="AN81" s="32">
        <f>SUM(COSTOS!$AL$54:AN54)</f>
        <v>5375000</v>
      </c>
      <c r="AO81" s="32">
        <f>SUM(COSTOS!$AL$54:AO54)</f>
        <v>7166666.666666666</v>
      </c>
      <c r="AP81" s="32">
        <f>SUM(COSTOS!$AL$54:AP54)</f>
        <v>8958333.3333333321</v>
      </c>
      <c r="AQ81" s="32">
        <f>SUM(COSTOS!$AL$54:AQ54)</f>
        <v>10749999.999999998</v>
      </c>
      <c r="AR81" s="32">
        <f>SUM(COSTOS!$AL$54:AR54)</f>
        <v>12541666.666666664</v>
      </c>
      <c r="AS81" s="32">
        <f>SUM(COSTOS!$AL$54:AS54)</f>
        <v>14333333.33333333</v>
      </c>
      <c r="AT81" s="32">
        <f>SUM(COSTOS!$AL$54:AT54)</f>
        <v>16124999.999999996</v>
      </c>
      <c r="AU81" s="32">
        <f>SUM(COSTOS!$AL$54:AU54)</f>
        <v>17916666.666666664</v>
      </c>
      <c r="AV81" s="32">
        <f>SUM(COSTOS!$AL$54:AV54)</f>
        <v>19708333.333333332</v>
      </c>
      <c r="AW81" s="32">
        <f>SUM(COSTOS!$AL$54:AW54)</f>
        <v>21500000</v>
      </c>
      <c r="AX81" s="32">
        <f>SUM(COSTOS!$AX$54:AX54)</f>
        <v>1791666.6666666665</v>
      </c>
      <c r="AY81" s="32">
        <f>SUM(COSTOS!$AX$54:AY54)</f>
        <v>1791666.6666666665</v>
      </c>
      <c r="AZ81" s="32">
        <f>SUM(COSTOS!$AX$54:AZ54)</f>
        <v>1791666.6666666665</v>
      </c>
      <c r="BA81" s="32">
        <f>SUM(COSTOS!$AX$54:BA54)</f>
        <v>1791666.6666666665</v>
      </c>
      <c r="BB81" s="32">
        <f>SUM(COSTOS!$AX$54:BB54)</f>
        <v>1791666.6666666665</v>
      </c>
      <c r="BC81" s="32">
        <f>SUM(COSTOS!$AX$54:BC54)</f>
        <v>1791666.6666666665</v>
      </c>
      <c r="BD81" s="32">
        <f>SUM(COSTOS!$AX$54:BD54)</f>
        <v>1791666.6666666665</v>
      </c>
      <c r="BE81" s="32">
        <f>SUM(COSTOS!$AX$54:BE54)</f>
        <v>1791666.6666666665</v>
      </c>
      <c r="BF81" s="32">
        <f>SUM(COSTOS!$AX$54:BF54)</f>
        <v>1791666.6666666665</v>
      </c>
      <c r="BG81" s="32">
        <f>SUM(COSTOS!$AX$54:BG54)</f>
        <v>1791666.6666666665</v>
      </c>
      <c r="BH81" s="32">
        <f>SUM(COSTOS!$AX$54:BH54)</f>
        <v>1791666.6666666665</v>
      </c>
      <c r="BI81" s="32">
        <f>SUM(COSTOS!$AX$54:BI54)</f>
        <v>1791666.6666666665</v>
      </c>
    </row>
    <row r="82" spans="1:61" hidden="1" x14ac:dyDescent="0.3">
      <c r="A82" s="2" t="s">
        <v>187</v>
      </c>
      <c r="B82" s="32">
        <f>SUM(COSTOS!$B$55:B55)</f>
        <v>2916.6666666666665</v>
      </c>
      <c r="C82" s="32">
        <f>SUM(COSTOS!$B$55:C55)</f>
        <v>5833.333333333333</v>
      </c>
      <c r="D82" s="32">
        <f>SUM(COSTOS!$B$55:D55)</f>
        <v>8750</v>
      </c>
      <c r="E82" s="32">
        <f>SUM(COSTOS!$B$55:E55)</f>
        <v>11666.666666666666</v>
      </c>
      <c r="F82" s="32">
        <f>SUM(COSTOS!$B$55:F55)</f>
        <v>14583.333333333332</v>
      </c>
      <c r="G82" s="32">
        <f>SUM(COSTOS!$B$55:G55)</f>
        <v>17500</v>
      </c>
      <c r="H82" s="32">
        <f>SUM(COSTOS!$B$55:H55)</f>
        <v>20416.666666666668</v>
      </c>
      <c r="I82" s="32">
        <f>SUM(COSTOS!$B$55:I55)</f>
        <v>23333.333333333336</v>
      </c>
      <c r="J82" s="32">
        <f>SUM(COSTOS!$B$55:J55)</f>
        <v>26250.000000000004</v>
      </c>
      <c r="K82" s="32">
        <f>SUM(COSTOS!$B$55:K55)</f>
        <v>29166.666666666672</v>
      </c>
      <c r="L82" s="32">
        <f>SUM(COSTOS!$B$55:L55)</f>
        <v>32083.333333333339</v>
      </c>
      <c r="M82" s="32">
        <f>SUM(COSTOS!$B$55:M55)</f>
        <v>35000.000000000007</v>
      </c>
      <c r="N82" s="32">
        <f>SUM(COSTOS!$N$55:N55)</f>
        <v>6166.6666666666661</v>
      </c>
      <c r="O82" s="32">
        <f>SUM(COSTOS!$N$55:O55)</f>
        <v>12333.333333333332</v>
      </c>
      <c r="P82" s="32">
        <f>SUM(COSTOS!$N$55:P55)</f>
        <v>18500</v>
      </c>
      <c r="Q82" s="32">
        <f>SUM(COSTOS!$N$55:Q55)</f>
        <v>24666.666666666664</v>
      </c>
      <c r="R82" s="32">
        <f>SUM(COSTOS!$N$55:R55)</f>
        <v>30833.333333333328</v>
      </c>
      <c r="S82" s="32">
        <f>SUM(COSTOS!$N$55:S55)</f>
        <v>36999.999999999993</v>
      </c>
      <c r="T82" s="32">
        <f>SUM(COSTOS!$N$55:T55)</f>
        <v>43166.666666666657</v>
      </c>
      <c r="U82" s="32">
        <f>SUM(COSTOS!$N$55:U55)</f>
        <v>49333.333333333321</v>
      </c>
      <c r="V82" s="32">
        <f>SUM(COSTOS!$N$55:V55)</f>
        <v>55499.999999999985</v>
      </c>
      <c r="W82" s="32">
        <f>SUM(COSTOS!$N$55:W55)</f>
        <v>61666.66666666665</v>
      </c>
      <c r="X82" s="32">
        <f>SUM(COSTOS!$N$55:X55)</f>
        <v>67833.333333333314</v>
      </c>
      <c r="Y82" s="32">
        <f>SUM(COSTOS!$N$55:Y55)</f>
        <v>73999.999999999985</v>
      </c>
      <c r="Z82" s="32">
        <f>SUM(COSTOS!$Z$55:Z55)</f>
        <v>11083.333333333332</v>
      </c>
      <c r="AA82" s="32">
        <f>SUM(COSTOS!$Z$55:AA55)</f>
        <v>22166.666666666664</v>
      </c>
      <c r="AB82" s="32">
        <f>SUM(COSTOS!$Z$55:AB55)</f>
        <v>33250</v>
      </c>
      <c r="AC82" s="32">
        <f>SUM(COSTOS!$Z$55:AC55)</f>
        <v>44333.333333333328</v>
      </c>
      <c r="AD82" s="32">
        <f>SUM(COSTOS!$Z$55:AD55)</f>
        <v>55416.666666666657</v>
      </c>
      <c r="AE82" s="32">
        <f>SUM(COSTOS!$Z$55:AE55)</f>
        <v>66499.999999999985</v>
      </c>
      <c r="AF82" s="32">
        <f>SUM(COSTOS!$Z$55:AF55)</f>
        <v>77583.333333333314</v>
      </c>
      <c r="AG82" s="32">
        <f>SUM(COSTOS!$Z$55:AG55)</f>
        <v>88666.666666666642</v>
      </c>
      <c r="AH82" s="32">
        <f>SUM(COSTOS!$Z$55:AH55)</f>
        <v>99749.999999999971</v>
      </c>
      <c r="AI82" s="32">
        <f>SUM(COSTOS!$Z$55:AI55)</f>
        <v>110833.3333333333</v>
      </c>
      <c r="AJ82" s="32">
        <f>SUM(COSTOS!$Z$55:AJ55)</f>
        <v>121916.66666666663</v>
      </c>
      <c r="AK82" s="32">
        <f>SUM(COSTOS!$Z$55:AK55)</f>
        <v>132999.99999999997</v>
      </c>
      <c r="AL82" s="32">
        <f>SUM(COSTOS!$AL$55:AL55)</f>
        <v>17916.666666666664</v>
      </c>
      <c r="AM82" s="32">
        <f>SUM(COSTOS!$AL$55:AM55)</f>
        <v>35833.333333333328</v>
      </c>
      <c r="AN82" s="32">
        <f>SUM(COSTOS!$AL$55:AN55)</f>
        <v>53749.999999999993</v>
      </c>
      <c r="AO82" s="32">
        <f>SUM(COSTOS!$AL$55:AO55)</f>
        <v>71666.666666666657</v>
      </c>
      <c r="AP82" s="32">
        <f>SUM(COSTOS!$AL$55:AP55)</f>
        <v>89583.333333333314</v>
      </c>
      <c r="AQ82" s="32">
        <f>SUM(COSTOS!$AL$55:AQ55)</f>
        <v>107499.99999999997</v>
      </c>
      <c r="AR82" s="32">
        <f>SUM(COSTOS!$AL$55:AR55)</f>
        <v>125416.66666666663</v>
      </c>
      <c r="AS82" s="32">
        <f>SUM(COSTOS!$AL$55:AS55)</f>
        <v>143333.33333333328</v>
      </c>
      <c r="AT82" s="32">
        <f>SUM(COSTOS!$AL$55:AT55)</f>
        <v>161249.99999999994</v>
      </c>
      <c r="AU82" s="32">
        <f>SUM(COSTOS!$AL$55:AU55)</f>
        <v>179166.6666666666</v>
      </c>
      <c r="AV82" s="32">
        <f>SUM(COSTOS!$AL$55:AV55)</f>
        <v>197083.33333333326</v>
      </c>
      <c r="AW82" s="32">
        <f>SUM(COSTOS!$AL$55:AW55)</f>
        <v>214999.99999999991</v>
      </c>
      <c r="AX82" s="32">
        <f>SUM(COSTOS!$AX$55:AX55)</f>
        <v>17916.666666666664</v>
      </c>
      <c r="AY82" s="32">
        <f>SUM(COSTOS!$AX$55:AY55)</f>
        <v>17916.666666666664</v>
      </c>
      <c r="AZ82" s="32">
        <f>SUM(COSTOS!$AX$55:AZ55)</f>
        <v>17916.666666666664</v>
      </c>
      <c r="BA82" s="32">
        <f>SUM(COSTOS!$AX$55:BA55)</f>
        <v>17916.666666666664</v>
      </c>
      <c r="BB82" s="32">
        <f>SUM(COSTOS!$AX$55:BB55)</f>
        <v>17916.666666666664</v>
      </c>
      <c r="BC82" s="32">
        <f>SUM(COSTOS!$AX$55:BC55)</f>
        <v>17916.666666666664</v>
      </c>
      <c r="BD82" s="32">
        <f>SUM(COSTOS!$AX$55:BD55)</f>
        <v>17916.666666666664</v>
      </c>
      <c r="BE82" s="32">
        <f>SUM(COSTOS!$AX$55:BE55)</f>
        <v>17916.666666666664</v>
      </c>
      <c r="BF82" s="32">
        <f>SUM(COSTOS!$AX$55:BF55)</f>
        <v>17916.666666666664</v>
      </c>
      <c r="BG82" s="32">
        <f>SUM(COSTOS!$AX$55:BG55)</f>
        <v>17916.666666666664</v>
      </c>
      <c r="BH82" s="32">
        <f>SUM(COSTOS!$AX$55:BH55)</f>
        <v>17916.666666666664</v>
      </c>
      <c r="BI82" s="32">
        <f>SUM(COSTOS!$AX$55:BI55)</f>
        <v>17916.666666666664</v>
      </c>
    </row>
    <row r="83" spans="1:61" hidden="1" x14ac:dyDescent="0.3">
      <c r="A83" s="33" t="s">
        <v>188</v>
      </c>
      <c r="B83" s="32">
        <f>SUM($B$66:B66)</f>
        <v>0</v>
      </c>
      <c r="C83" s="32">
        <f>SUM($B$66:C66)</f>
        <v>0</v>
      </c>
      <c r="D83" s="32">
        <f>SUM($B$66:D66)</f>
        <v>0</v>
      </c>
      <c r="E83" s="32">
        <f>SUM($B$66:E66)</f>
        <v>0</v>
      </c>
      <c r="F83" s="32">
        <f>SUM($B$66:F66)</f>
        <v>0</v>
      </c>
      <c r="G83" s="32">
        <f>SUM($B$66:G66)</f>
        <v>0</v>
      </c>
      <c r="H83" s="32">
        <f>SUM($B$66:H66)</f>
        <v>0</v>
      </c>
      <c r="I83" s="32">
        <f>SUM($B$66:I66)</f>
        <v>0</v>
      </c>
      <c r="J83" s="32">
        <f>SUM($B$66:J66)</f>
        <v>0</v>
      </c>
      <c r="K83" s="32">
        <f>SUM($B$66:K66)</f>
        <v>0</v>
      </c>
      <c r="L83" s="32">
        <f>SUM($B$66:L66)</f>
        <v>0</v>
      </c>
      <c r="M83" s="32">
        <f>SUM($B$66:M66)</f>
        <v>0</v>
      </c>
      <c r="N83" s="32">
        <f>SUM($N$66:N66)</f>
        <v>208333.33333333331</v>
      </c>
      <c r="O83" s="32">
        <f>SUM($N$66:O66)</f>
        <v>416666.66666666663</v>
      </c>
      <c r="P83" s="32">
        <f>SUM($N$66:P66)</f>
        <v>625000</v>
      </c>
      <c r="Q83" s="32">
        <f>SUM($N$66:Q66)</f>
        <v>833333.33333333326</v>
      </c>
      <c r="R83" s="32">
        <f>SUM($N$66:R66)</f>
        <v>1041666.6666666665</v>
      </c>
      <c r="S83" s="32">
        <f>SUM($N$66:S66)</f>
        <v>1249999.9999999998</v>
      </c>
      <c r="T83" s="32">
        <f>SUM($N$66:T66)</f>
        <v>1458333.333333333</v>
      </c>
      <c r="U83" s="32">
        <f>SUM($N$66:U66)</f>
        <v>1666666.6666666663</v>
      </c>
      <c r="V83" s="32">
        <f>SUM($N$66:V66)</f>
        <v>1874999.9999999995</v>
      </c>
      <c r="W83" s="32">
        <f>SUM($N$66:W66)</f>
        <v>2083333.3333333328</v>
      </c>
      <c r="X83" s="32">
        <f>SUM($N$66:X66)</f>
        <v>2291666.666666666</v>
      </c>
      <c r="Y83" s="32">
        <f>SUM($N$66:Y66)</f>
        <v>2499999.9999999995</v>
      </c>
      <c r="Z83" s="32">
        <f>SUM($Z$66:Z66)</f>
        <v>400000</v>
      </c>
      <c r="AA83" s="32">
        <f>SUM($Z$66:AA66)</f>
        <v>800000</v>
      </c>
      <c r="AB83" s="32">
        <f>SUM($Z$66:AB66)</f>
        <v>1200000</v>
      </c>
      <c r="AC83" s="32">
        <f>SUM($Z$66:AC66)</f>
        <v>1600000</v>
      </c>
      <c r="AD83" s="32">
        <f>SUM($Z$66:AD66)</f>
        <v>2000000</v>
      </c>
      <c r="AE83" s="32">
        <f>SUM($Z$66:AE66)</f>
        <v>2400000</v>
      </c>
      <c r="AF83" s="32">
        <f>SUM($Z$66:AF66)</f>
        <v>2800000</v>
      </c>
      <c r="AG83" s="32">
        <f>SUM($Z$66:AG66)</f>
        <v>3200000</v>
      </c>
      <c r="AH83" s="32">
        <f>SUM($Z$66:AH66)</f>
        <v>3600000</v>
      </c>
      <c r="AI83" s="32">
        <f>SUM($Z$66:AI66)</f>
        <v>4000000</v>
      </c>
      <c r="AJ83" s="32">
        <f>SUM($Z$66:AJ66)</f>
        <v>4400000</v>
      </c>
      <c r="AK83" s="32">
        <f>SUM($Z$66:AK66)</f>
        <v>4800000</v>
      </c>
      <c r="AL83" s="32">
        <f>SUM($AL$66:AL66)</f>
        <v>416666.66666666663</v>
      </c>
      <c r="AM83" s="32">
        <f>SUM($AL$66:AM66)</f>
        <v>833333.33333333326</v>
      </c>
      <c r="AN83" s="32">
        <f>SUM($AL$66:AN66)</f>
        <v>1250000</v>
      </c>
      <c r="AO83" s="32">
        <f>SUM($AL$66:AO66)</f>
        <v>1666666.6666666665</v>
      </c>
      <c r="AP83" s="32">
        <f>SUM($AL$66:AP66)</f>
        <v>2083333.333333333</v>
      </c>
      <c r="AQ83" s="32">
        <f>SUM($AL$66:AQ66)</f>
        <v>2499999.9999999995</v>
      </c>
      <c r="AR83" s="32">
        <f>SUM($AL$66:AR66)</f>
        <v>2916666.666666666</v>
      </c>
      <c r="AS83" s="32">
        <f>SUM($AL$66:AS66)</f>
        <v>3333333.3333333326</v>
      </c>
      <c r="AT83" s="32">
        <f>SUM($AL$66:AT66)</f>
        <v>3749999.9999999991</v>
      </c>
      <c r="AU83" s="32">
        <f>SUM($AL$66:AU66)</f>
        <v>4166666.6666666656</v>
      </c>
      <c r="AV83" s="32">
        <f>SUM($AL$66:AV66)</f>
        <v>4583333.3333333321</v>
      </c>
      <c r="AW83" s="32">
        <f>SUM($AL$66:AW66)</f>
        <v>4999999.9999999991</v>
      </c>
      <c r="AX83" s="32">
        <f>SUM($AX$66:AX66)</f>
        <v>416666.66666666663</v>
      </c>
      <c r="AY83" s="32">
        <f>SUM($AX$66:AY66)</f>
        <v>416666.66666666663</v>
      </c>
      <c r="AZ83" s="32">
        <f>SUM($AX$66:AZ66)</f>
        <v>416666.66666666663</v>
      </c>
      <c r="BA83" s="32">
        <f>SUM($AX$66:BA66)</f>
        <v>416666.66666666663</v>
      </c>
      <c r="BB83" s="32">
        <f>SUM($AX$66:BB66)</f>
        <v>416666.66666666663</v>
      </c>
      <c r="BC83" s="32">
        <f>SUM($AX$66:BC66)</f>
        <v>416666.66666666663</v>
      </c>
      <c r="BD83" s="32">
        <f>SUM($AX$66:BD66)</f>
        <v>416666.66666666663</v>
      </c>
      <c r="BE83" s="32">
        <f>SUM($AX$66:BE66)</f>
        <v>416666.66666666663</v>
      </c>
      <c r="BF83" s="32">
        <f>SUM($AX$66:BF66)</f>
        <v>416666.66666666663</v>
      </c>
      <c r="BG83" s="32">
        <f>SUM($AX$66:BG66)</f>
        <v>416666.66666666663</v>
      </c>
      <c r="BH83" s="32">
        <f>SUM($AX$66:BH66)</f>
        <v>416666.66666666663</v>
      </c>
      <c r="BI83" s="32">
        <f>SUM($AX$66:BI66)</f>
        <v>416666.66666666663</v>
      </c>
    </row>
    <row r="84" spans="1:61" hidden="1" x14ac:dyDescent="0.3">
      <c r="A84" s="33" t="s">
        <v>189</v>
      </c>
      <c r="B84" s="32">
        <f>SUM($B$67:B67)</f>
        <v>0</v>
      </c>
      <c r="C84" s="32">
        <f>SUM($B$67:C67)</f>
        <v>0</v>
      </c>
      <c r="D84" s="32">
        <f>SUM($B$67:D67)</f>
        <v>0</v>
      </c>
      <c r="E84" s="32">
        <f>SUM($B$67:E67)</f>
        <v>0</v>
      </c>
      <c r="F84" s="32">
        <f>SUM($B$67:F67)</f>
        <v>0</v>
      </c>
      <c r="G84" s="32">
        <f>SUM($B$67:G67)</f>
        <v>0</v>
      </c>
      <c r="H84" s="32">
        <f>SUM($B$67:H67)</f>
        <v>0</v>
      </c>
      <c r="I84" s="32">
        <f>SUM($B$67:I67)</f>
        <v>0</v>
      </c>
      <c r="J84" s="32">
        <f>SUM($B$67:J67)</f>
        <v>0</v>
      </c>
      <c r="K84" s="32">
        <f>SUM($B$67:K67)</f>
        <v>0</v>
      </c>
      <c r="L84" s="32">
        <f>SUM($B$67:L67)</f>
        <v>0</v>
      </c>
      <c r="M84" s="32">
        <f>SUM($B$67:M67)</f>
        <v>0</v>
      </c>
      <c r="N84" s="32">
        <f>SUM($N$67:N67)</f>
        <v>2083.333333333333</v>
      </c>
      <c r="O84" s="32">
        <f>SUM($N$67:O67)</f>
        <v>4166.6666666666661</v>
      </c>
      <c r="P84" s="32">
        <f>SUM($N$67:P67)</f>
        <v>6249.9999999999991</v>
      </c>
      <c r="Q84" s="32">
        <f>SUM($N$67:Q67)</f>
        <v>8333.3333333333321</v>
      </c>
      <c r="R84" s="32">
        <f>SUM($N$67:R67)</f>
        <v>10416.666666666664</v>
      </c>
      <c r="S84" s="32">
        <f>SUM($N$67:S67)</f>
        <v>12499.999999999996</v>
      </c>
      <c r="T84" s="32">
        <f>SUM($N$67:T67)</f>
        <v>14583.333333333328</v>
      </c>
      <c r="U84" s="32">
        <f>SUM($N$67:U67)</f>
        <v>16666.666666666661</v>
      </c>
      <c r="V84" s="32">
        <f>SUM($N$67:V67)</f>
        <v>18749.999999999993</v>
      </c>
      <c r="W84" s="32">
        <f>SUM($N$67:W67)</f>
        <v>20833.333333333325</v>
      </c>
      <c r="X84" s="32">
        <f>SUM($N$67:X67)</f>
        <v>22916.666666666657</v>
      </c>
      <c r="Y84" s="32">
        <f>SUM($N$67:Y67)</f>
        <v>24999.999999999989</v>
      </c>
      <c r="Z84" s="32">
        <f>SUM($Z$67:Z67)</f>
        <v>4000</v>
      </c>
      <c r="AA84" s="32">
        <f>SUM($Z$67:AA67)</f>
        <v>8000</v>
      </c>
      <c r="AB84" s="32">
        <f>SUM($Z$67:AB67)</f>
        <v>12000</v>
      </c>
      <c r="AC84" s="32">
        <f>SUM($Z$67:AC67)</f>
        <v>16000</v>
      </c>
      <c r="AD84" s="32">
        <f>SUM($Z$67:AD67)</f>
        <v>20000</v>
      </c>
      <c r="AE84" s="32">
        <f>SUM($Z$67:AE67)</f>
        <v>24000</v>
      </c>
      <c r="AF84" s="32">
        <f>SUM($Z$67:AF67)</f>
        <v>28000</v>
      </c>
      <c r="AG84" s="32">
        <f>SUM($Z$67:AG67)</f>
        <v>32000</v>
      </c>
      <c r="AH84" s="32">
        <f>SUM($Z$67:AH67)</f>
        <v>36000</v>
      </c>
      <c r="AI84" s="32">
        <f>SUM($Z$67:AI67)</f>
        <v>40000</v>
      </c>
      <c r="AJ84" s="32">
        <f>SUM($Z$67:AJ67)</f>
        <v>44000</v>
      </c>
      <c r="AK84" s="32">
        <f>SUM($Z$67:AK67)</f>
        <v>48000</v>
      </c>
      <c r="AL84" s="32">
        <f>SUM($AL$67:AL67)</f>
        <v>4166.6666666666661</v>
      </c>
      <c r="AM84" s="32">
        <f>SUM($AL$67:AM67)</f>
        <v>8333.3333333333321</v>
      </c>
      <c r="AN84" s="32">
        <f>SUM($AL$67:AN67)</f>
        <v>12499.999999999998</v>
      </c>
      <c r="AO84" s="32">
        <f>SUM($AL$67:AO67)</f>
        <v>16666.666666666664</v>
      </c>
      <c r="AP84" s="32">
        <f>SUM($AL$67:AP67)</f>
        <v>20833.333333333328</v>
      </c>
      <c r="AQ84" s="32">
        <f>SUM($AL$67:AQ67)</f>
        <v>24999.999999999993</v>
      </c>
      <c r="AR84" s="32">
        <f>SUM($AL$67:AR67)</f>
        <v>29166.666666666657</v>
      </c>
      <c r="AS84" s="32">
        <f>SUM($AL$67:AS67)</f>
        <v>33333.333333333321</v>
      </c>
      <c r="AT84" s="32">
        <f>SUM($AL$67:AT67)</f>
        <v>37499.999999999985</v>
      </c>
      <c r="AU84" s="32">
        <f>SUM($AL$67:AU67)</f>
        <v>41666.66666666665</v>
      </c>
      <c r="AV84" s="32">
        <f>SUM($AL$67:AV67)</f>
        <v>45833.333333333314</v>
      </c>
      <c r="AW84" s="32">
        <f>SUM($AL$67:AW67)</f>
        <v>49999.999999999978</v>
      </c>
      <c r="AX84" s="32">
        <f>SUM($AX$67:AX67)</f>
        <v>4166.6666666666661</v>
      </c>
      <c r="AY84" s="32">
        <f>SUM($AX$67:AY67)</f>
        <v>4166.6666666666661</v>
      </c>
      <c r="AZ84" s="32">
        <f>SUM($AX$67:AZ67)</f>
        <v>4166.6666666666661</v>
      </c>
      <c r="BA84" s="32">
        <f>SUM($AX$67:BA67)</f>
        <v>4166.6666666666661</v>
      </c>
      <c r="BB84" s="32">
        <f>SUM($AX$67:BB67)</f>
        <v>4166.6666666666661</v>
      </c>
      <c r="BC84" s="32">
        <f>SUM($AX$67:BC67)</f>
        <v>4166.6666666666661</v>
      </c>
      <c r="BD84" s="32">
        <f>SUM($AX$67:BD67)</f>
        <v>4166.6666666666661</v>
      </c>
      <c r="BE84" s="32">
        <f>SUM($AX$67:BE67)</f>
        <v>4166.6666666666661</v>
      </c>
      <c r="BF84" s="32">
        <f>SUM($AX$67:BF67)</f>
        <v>4166.6666666666661</v>
      </c>
      <c r="BG84" s="32">
        <f>SUM($AX$67:BG67)</f>
        <v>4166.6666666666661</v>
      </c>
      <c r="BH84" s="32">
        <f>SUM($AX$67:BH67)</f>
        <v>4166.6666666666661</v>
      </c>
      <c r="BI84" s="32">
        <f>SUM($AX$67:BI67)</f>
        <v>4166.6666666666661</v>
      </c>
    </row>
    <row r="85" spans="1:61" hidden="1" x14ac:dyDescent="0.3">
      <c r="A85" s="33" t="s">
        <v>190</v>
      </c>
      <c r="B85" s="32">
        <f>SUM(COSTOS!$B$53:B53)</f>
        <v>291666.66666666663</v>
      </c>
      <c r="C85" s="32">
        <f>SUM(COSTOS!$B$53:C53)</f>
        <v>583333.33333333326</v>
      </c>
      <c r="D85" s="32">
        <f>SUM(COSTOS!$B$53:D53)</f>
        <v>874999.99999999988</v>
      </c>
      <c r="E85" s="32">
        <f>SUM(COSTOS!$B$53:E53)</f>
        <v>1166666.6666666665</v>
      </c>
      <c r="F85" s="32">
        <f>SUM(COSTOS!$B$53:F53)</f>
        <v>1458333.333333333</v>
      </c>
      <c r="G85" s="32">
        <f>SUM(COSTOS!$B$53:G53)</f>
        <v>1749999.9999999995</v>
      </c>
      <c r="H85" s="32">
        <f>SUM(COSTOS!$H$53:H53)</f>
        <v>291666.66666666663</v>
      </c>
      <c r="I85" s="32">
        <f>SUM(COSTOS!$H$53:I53)</f>
        <v>583333.33333333326</v>
      </c>
      <c r="J85" s="32">
        <f>SUM(COSTOS!$H$53:J53)</f>
        <v>874999.99999999988</v>
      </c>
      <c r="K85" s="32">
        <f>SUM(COSTOS!$H$53:K53)</f>
        <v>1166666.6666666665</v>
      </c>
      <c r="L85" s="32">
        <f>SUM(COSTOS!$H$53:L53)</f>
        <v>1458333.333333333</v>
      </c>
      <c r="M85" s="32">
        <f>SUM(COSTOS!$H$53:M53)</f>
        <v>1749999.9999999995</v>
      </c>
      <c r="N85" s="32">
        <f>SUM(COSTOS!$N$53:N53)</f>
        <v>616666.66666666663</v>
      </c>
      <c r="O85" s="32">
        <f>SUM(COSTOS!$N$53:O53)</f>
        <v>1233333.3333333333</v>
      </c>
      <c r="P85" s="32">
        <f>SUM(COSTOS!$N$53:P53)</f>
        <v>1850000</v>
      </c>
      <c r="Q85" s="32">
        <f>SUM(COSTOS!$N$53:Q53)</f>
        <v>2466666.6666666665</v>
      </c>
      <c r="R85" s="32">
        <f>SUM(COSTOS!$N$53:R53)</f>
        <v>3083333.333333333</v>
      </c>
      <c r="S85" s="32">
        <f>SUM(COSTOS!$N$53:S53)</f>
        <v>3699999.9999999995</v>
      </c>
      <c r="T85" s="32">
        <f>SUM(COSTOS!$T$53:T53)</f>
        <v>616666.66666666663</v>
      </c>
      <c r="U85" s="32">
        <f>SUM(COSTOS!$T$53:U53)</f>
        <v>1233333.3333333333</v>
      </c>
      <c r="V85" s="32">
        <f>SUM(COSTOS!$T$53:V53)</f>
        <v>1850000</v>
      </c>
      <c r="W85" s="32">
        <f>SUM(COSTOS!$T$53:W53)</f>
        <v>2466666.6666666665</v>
      </c>
      <c r="X85" s="32">
        <f>SUM(COSTOS!$T$53:X53)</f>
        <v>3083333.333333333</v>
      </c>
      <c r="Y85" s="32">
        <f>SUM(COSTOS!$T$53:Y53)</f>
        <v>3699999.9999999995</v>
      </c>
      <c r="Z85" s="32">
        <f>SUM(COSTOS!$Z$53:Z53)</f>
        <v>1108333.3333333333</v>
      </c>
      <c r="AA85" s="32">
        <f>SUM(COSTOS!$Z$53:AA53)</f>
        <v>2216666.6666666665</v>
      </c>
      <c r="AB85" s="32">
        <f>SUM(COSTOS!$Z$53:AB53)</f>
        <v>3325000</v>
      </c>
      <c r="AC85" s="32">
        <f>SUM(COSTOS!$Z$53:AC53)</f>
        <v>4433333.333333333</v>
      </c>
      <c r="AD85" s="32">
        <f>SUM(COSTOS!$Z$53:AD53)</f>
        <v>5541666.666666666</v>
      </c>
      <c r="AE85" s="32">
        <f>SUM(COSTOS!$Z$53:AE53)</f>
        <v>6649999.9999999991</v>
      </c>
      <c r="AF85" s="32">
        <f>SUM(COSTOS!$AF$53:AF53)</f>
        <v>1108333.3333333333</v>
      </c>
      <c r="AG85" s="32">
        <f>SUM(COSTOS!$AF$53:AG53)</f>
        <v>2216666.6666666665</v>
      </c>
      <c r="AH85" s="32">
        <f>SUM(COSTOS!$AF$53:AH53)</f>
        <v>3325000</v>
      </c>
      <c r="AI85" s="32">
        <f>SUM(COSTOS!$AF$53:AI53)</f>
        <v>4433333.333333333</v>
      </c>
      <c r="AJ85" s="32">
        <f>SUM(COSTOS!$AF$53:AJ53)</f>
        <v>5541666.666666666</v>
      </c>
      <c r="AK85" s="32">
        <f>SUM(COSTOS!$AF$53:AK53)</f>
        <v>6649999.9999999991</v>
      </c>
      <c r="AL85" s="32">
        <f>SUM(COSTOS!$AL$53:AL53)</f>
        <v>1791666.6666666665</v>
      </c>
      <c r="AM85" s="32">
        <f>SUM(COSTOS!$AL$53:AM53)</f>
        <v>3583333.333333333</v>
      </c>
      <c r="AN85" s="32">
        <f>SUM(COSTOS!$AL$53:AN53)</f>
        <v>5375000</v>
      </c>
      <c r="AO85" s="32">
        <f>SUM(COSTOS!$AL$53:AO53)</f>
        <v>7166666.666666666</v>
      </c>
      <c r="AP85" s="32">
        <f>SUM(COSTOS!$AL$53:AP53)</f>
        <v>8958333.3333333321</v>
      </c>
      <c r="AQ85" s="32">
        <f>SUM(COSTOS!$AL$53:AQ53)</f>
        <v>10749999.999999998</v>
      </c>
      <c r="AR85" s="32">
        <f>SUM(COSTOS!$AR$53:AR53)</f>
        <v>1791666.6666666665</v>
      </c>
      <c r="AS85" s="32">
        <f>SUM(COSTOS!$AR$53:AS53)</f>
        <v>3583333.333333333</v>
      </c>
      <c r="AT85" s="32">
        <f>SUM(COSTOS!$AR$53:AT53)</f>
        <v>5375000</v>
      </c>
      <c r="AU85" s="32">
        <f>SUM(COSTOS!$AR$53:AU53)</f>
        <v>7166666.666666666</v>
      </c>
      <c r="AV85" s="32">
        <f>SUM(COSTOS!$AR$53:AV53)</f>
        <v>8958333.3333333321</v>
      </c>
      <c r="AW85" s="32">
        <f>SUM(COSTOS!$AR$53:AW53)</f>
        <v>10749999.999999998</v>
      </c>
      <c r="AX85" s="32">
        <f>SUM(COSTOS!$AX$53:AX53)</f>
        <v>1791666.6666666665</v>
      </c>
      <c r="AY85" s="32">
        <f>SUM(COSTOS!$AX$53:AY53)</f>
        <v>1791666.6666666665</v>
      </c>
      <c r="AZ85" s="32">
        <f>SUM(COSTOS!$AX$53:AZ53)</f>
        <v>1791666.6666666665</v>
      </c>
      <c r="BA85" s="32">
        <f>SUM(COSTOS!$AX$53:BA53)</f>
        <v>1791666.6666666665</v>
      </c>
      <c r="BB85" s="32">
        <f>SUM(COSTOS!$AX$53:BB53)</f>
        <v>1791666.6666666665</v>
      </c>
      <c r="BC85" s="32">
        <f>SUM(COSTOS!$AX$53:BC53)</f>
        <v>1791666.6666666665</v>
      </c>
      <c r="BD85" s="32">
        <f>SUM(COSTOS!$BD$53:BD53)</f>
        <v>0</v>
      </c>
      <c r="BE85" s="32">
        <f>SUM(COSTOS!$BD$53:BE53)</f>
        <v>0</v>
      </c>
      <c r="BF85" s="32">
        <f>SUM(COSTOS!$BD$53:BF53)</f>
        <v>0</v>
      </c>
      <c r="BG85" s="32">
        <f>SUM(COSTOS!$BD$53:BG53)</f>
        <v>0</v>
      </c>
      <c r="BH85" s="32">
        <f>SUM(COSTOS!$BD$53:BH53)</f>
        <v>0</v>
      </c>
      <c r="BI85" s="32">
        <f>SUM(COSTOS!$BD$53:BI53)</f>
        <v>0</v>
      </c>
    </row>
    <row r="86" spans="1:61" hidden="1" x14ac:dyDescent="0.3">
      <c r="A86" s="33" t="s">
        <v>191</v>
      </c>
      <c r="B86" s="32">
        <f>SUM($B$65:B65)</f>
        <v>0</v>
      </c>
      <c r="C86" s="32">
        <f>SUM($B$65:C65)</f>
        <v>0</v>
      </c>
      <c r="D86" s="32">
        <f>SUM($B$65:D65)</f>
        <v>0</v>
      </c>
      <c r="E86" s="32">
        <f>SUM($B$65:E65)</f>
        <v>0</v>
      </c>
      <c r="F86" s="32">
        <f>SUM($B$65:F65)</f>
        <v>0</v>
      </c>
      <c r="G86" s="32">
        <f>SUM($B$65:G65)</f>
        <v>0</v>
      </c>
      <c r="H86" s="32">
        <f>SUM($H$65:H65)</f>
        <v>0</v>
      </c>
      <c r="I86" s="32">
        <f>SUM($H$65:I65)</f>
        <v>0</v>
      </c>
      <c r="J86" s="32">
        <f>SUM($H$65:J65)</f>
        <v>0</v>
      </c>
      <c r="K86" s="32">
        <f>SUM($H$65:K65)</f>
        <v>0</v>
      </c>
      <c r="L86" s="32">
        <f>SUM($H$65:L65)</f>
        <v>0</v>
      </c>
      <c r="M86" s="32">
        <f>SUM($H$65:M65)</f>
        <v>0</v>
      </c>
      <c r="N86" s="32">
        <f>SUM($N$65:N65)</f>
        <v>208333.33333333331</v>
      </c>
      <c r="O86" s="32">
        <f>SUM($N$65:O65)</f>
        <v>416666.66666666663</v>
      </c>
      <c r="P86" s="32">
        <f>SUM($N$65:P65)</f>
        <v>625000</v>
      </c>
      <c r="Q86" s="32">
        <f>SUM($N$65:Q65)</f>
        <v>833333.33333333326</v>
      </c>
      <c r="R86" s="32">
        <f>SUM($N$65:R65)</f>
        <v>1041666.6666666665</v>
      </c>
      <c r="S86" s="32">
        <f>SUM($N$65:S65)</f>
        <v>1249999.9999999998</v>
      </c>
      <c r="T86" s="32">
        <f>SUM($T$65:T65)</f>
        <v>208333.33333333331</v>
      </c>
      <c r="U86" s="32">
        <f>SUM($T$65:U65)</f>
        <v>416666.66666666663</v>
      </c>
      <c r="V86" s="32">
        <f>SUM($T$65:V65)</f>
        <v>625000</v>
      </c>
      <c r="W86" s="32">
        <f>SUM($T$65:W65)</f>
        <v>833333.33333333326</v>
      </c>
      <c r="X86" s="32">
        <f>SUM($T$65:X65)</f>
        <v>1041666.6666666665</v>
      </c>
      <c r="Y86" s="32">
        <f>SUM($T$65:Y65)</f>
        <v>1249999.9999999998</v>
      </c>
      <c r="Z86" s="32">
        <f>SUM($Z$65:Z65)</f>
        <v>400000</v>
      </c>
      <c r="AA86" s="32">
        <f>SUM($Z$65:AA65)</f>
        <v>800000</v>
      </c>
      <c r="AB86" s="32">
        <f>SUM($Z$65:AB65)</f>
        <v>1200000</v>
      </c>
      <c r="AC86" s="32">
        <f>SUM($Z$65:AC65)</f>
        <v>1600000</v>
      </c>
      <c r="AD86" s="32">
        <f>SUM($Z$65:AD65)</f>
        <v>2000000</v>
      </c>
      <c r="AE86" s="32">
        <f>SUM($Z$65:AE65)</f>
        <v>2400000</v>
      </c>
      <c r="AF86" s="32">
        <f>SUM($AF$65:AF65)</f>
        <v>400000</v>
      </c>
      <c r="AG86" s="32">
        <f>SUM($AF$65:AG65)</f>
        <v>800000</v>
      </c>
      <c r="AH86" s="32">
        <f>SUM($AF$65:AH65)</f>
        <v>1200000</v>
      </c>
      <c r="AI86" s="32">
        <f>SUM($AF$65:AI65)</f>
        <v>1600000</v>
      </c>
      <c r="AJ86" s="32">
        <f>SUM($AF$65:AJ65)</f>
        <v>2000000</v>
      </c>
      <c r="AK86" s="32">
        <f>SUM($AF$65:AK65)</f>
        <v>2400000</v>
      </c>
      <c r="AL86" s="32">
        <f>SUM($AL$65:AL65)</f>
        <v>416666.66666666663</v>
      </c>
      <c r="AM86" s="32">
        <f>SUM($AL$65:AM65)</f>
        <v>833333.33333333326</v>
      </c>
      <c r="AN86" s="32">
        <f>SUM($AL$65:AN65)</f>
        <v>1250000</v>
      </c>
      <c r="AO86" s="32">
        <f>SUM($AL$65:AO65)</f>
        <v>1666666.6666666665</v>
      </c>
      <c r="AP86" s="32">
        <f>SUM($AL$65:AP65)</f>
        <v>2083333.333333333</v>
      </c>
      <c r="AQ86" s="32">
        <f>SUM($AL$65:AQ65)</f>
        <v>2499999.9999999995</v>
      </c>
      <c r="AR86" s="32">
        <f>SUM($AR$65:AR65)</f>
        <v>416666.66666666663</v>
      </c>
      <c r="AS86" s="32">
        <f>SUM($AR$65:AS65)</f>
        <v>833333.33333333326</v>
      </c>
      <c r="AT86" s="32">
        <f>SUM($AR$65:AT65)</f>
        <v>1250000</v>
      </c>
      <c r="AU86" s="32">
        <f>SUM($AR$65:AU65)</f>
        <v>1666666.6666666665</v>
      </c>
      <c r="AV86" s="32">
        <f>SUM($AR$65:AV65)</f>
        <v>2083333.333333333</v>
      </c>
      <c r="AW86" s="32">
        <f>SUM($AR$65:AW65)</f>
        <v>2499999.9999999995</v>
      </c>
      <c r="AX86" s="32">
        <f>SUM($AX$65:AX65)</f>
        <v>416666.66666666663</v>
      </c>
      <c r="AY86" s="32">
        <f>SUM($AX$65:AY65)</f>
        <v>416666.66666666663</v>
      </c>
      <c r="AZ86" s="32">
        <f>SUM($AX$65:AZ65)</f>
        <v>416666.66666666663</v>
      </c>
      <c r="BA86" s="32">
        <f>SUM($AX$65:BA65)</f>
        <v>416666.66666666663</v>
      </c>
      <c r="BB86" s="32">
        <f>SUM($AX$65:BB65)</f>
        <v>416666.66666666663</v>
      </c>
      <c r="BC86" s="32">
        <f>SUM($AX$65:BC65)</f>
        <v>416666.66666666663</v>
      </c>
      <c r="BD86" s="32">
        <f>SUM($BD$65:BD65)</f>
        <v>0</v>
      </c>
      <c r="BE86" s="32">
        <f>SUM($BD$65:BE65)</f>
        <v>0</v>
      </c>
      <c r="BF86" s="32">
        <f>SUM($BD$65:BF65)</f>
        <v>0</v>
      </c>
      <c r="BG86" s="32">
        <f>SUM($BD$65:BG65)</f>
        <v>0</v>
      </c>
      <c r="BH86" s="32">
        <f>SUM($BD$65:BH65)</f>
        <v>0</v>
      </c>
      <c r="BI86" s="32">
        <f>SUM($BD$65:BI65)</f>
        <v>0</v>
      </c>
    </row>
    <row r="87" spans="1:61" hidden="1" x14ac:dyDescent="0.3">
      <c r="A87" s="8" t="s">
        <v>192</v>
      </c>
      <c r="B87" s="9">
        <f>SUM(B81:B86)</f>
        <v>586250</v>
      </c>
      <c r="C87" s="9">
        <f t="shared" ref="C87:BI87" si="21">SUM(C81:C86)</f>
        <v>1172500</v>
      </c>
      <c r="D87" s="9">
        <f t="shared" si="21"/>
        <v>1758749.9999999998</v>
      </c>
      <c r="E87" s="9">
        <f t="shared" si="21"/>
        <v>2345000</v>
      </c>
      <c r="F87" s="9">
        <f t="shared" si="21"/>
        <v>2931249.9999999991</v>
      </c>
      <c r="G87" s="9">
        <f t="shared" si="21"/>
        <v>3517499.9999999991</v>
      </c>
      <c r="H87" s="9">
        <f t="shared" si="21"/>
        <v>2353749.9999999995</v>
      </c>
      <c r="I87" s="9">
        <f t="shared" si="21"/>
        <v>2939999.9999999991</v>
      </c>
      <c r="J87" s="9">
        <f t="shared" si="21"/>
        <v>3526249.9999999991</v>
      </c>
      <c r="K87" s="9">
        <f t="shared" si="21"/>
        <v>4112499.9999999986</v>
      </c>
      <c r="L87" s="9">
        <f t="shared" si="21"/>
        <v>4698749.9999999981</v>
      </c>
      <c r="M87" s="9">
        <f t="shared" si="21"/>
        <v>5284999.9999999981</v>
      </c>
      <c r="N87" s="9">
        <f t="shared" si="21"/>
        <v>1658249.9999999998</v>
      </c>
      <c r="O87" s="9">
        <f t="shared" si="21"/>
        <v>3316499.9999999995</v>
      </c>
      <c r="P87" s="9">
        <f t="shared" si="21"/>
        <v>4974750</v>
      </c>
      <c r="Q87" s="9">
        <f t="shared" si="21"/>
        <v>6632999.9999999991</v>
      </c>
      <c r="R87" s="9">
        <f t="shared" si="21"/>
        <v>8291249.9999999981</v>
      </c>
      <c r="S87" s="9">
        <f t="shared" si="21"/>
        <v>9949499.9999999981</v>
      </c>
      <c r="T87" s="9">
        <f t="shared" si="21"/>
        <v>6657749.9999999991</v>
      </c>
      <c r="U87" s="9">
        <f t="shared" si="21"/>
        <v>8315999.9999999991</v>
      </c>
      <c r="V87" s="9">
        <f t="shared" si="21"/>
        <v>9974250</v>
      </c>
      <c r="W87" s="9">
        <f t="shared" si="21"/>
        <v>11632500</v>
      </c>
      <c r="X87" s="9">
        <f t="shared" si="21"/>
        <v>13290749.999999998</v>
      </c>
      <c r="Y87" s="9">
        <f t="shared" si="21"/>
        <v>14949000</v>
      </c>
      <c r="Z87" s="9">
        <f t="shared" si="21"/>
        <v>3031750</v>
      </c>
      <c r="AA87" s="9">
        <f t="shared" si="21"/>
        <v>6063500</v>
      </c>
      <c r="AB87" s="9">
        <f t="shared" si="21"/>
        <v>9095250</v>
      </c>
      <c r="AC87" s="9">
        <f t="shared" si="21"/>
        <v>12127000</v>
      </c>
      <c r="AD87" s="9">
        <f t="shared" si="21"/>
        <v>15158750</v>
      </c>
      <c r="AE87" s="9">
        <f t="shared" si="21"/>
        <v>18190500</v>
      </c>
      <c r="AF87" s="9">
        <f t="shared" si="21"/>
        <v>12172249.999999998</v>
      </c>
      <c r="AG87" s="9">
        <f t="shared" si="21"/>
        <v>15203999.999999998</v>
      </c>
      <c r="AH87" s="9">
        <f t="shared" si="21"/>
        <v>18235750</v>
      </c>
      <c r="AI87" s="9">
        <f t="shared" si="21"/>
        <v>21267500</v>
      </c>
      <c r="AJ87" s="9">
        <f t="shared" si="21"/>
        <v>24299250</v>
      </c>
      <c r="AK87" s="9">
        <f t="shared" si="21"/>
        <v>27331000</v>
      </c>
      <c r="AL87" s="9">
        <f t="shared" si="21"/>
        <v>4438750</v>
      </c>
      <c r="AM87" s="9">
        <f t="shared" si="21"/>
        <v>8877500</v>
      </c>
      <c r="AN87" s="9">
        <f t="shared" si="21"/>
        <v>13316250</v>
      </c>
      <c r="AO87" s="9">
        <f t="shared" si="21"/>
        <v>17755000</v>
      </c>
      <c r="AP87" s="9">
        <f t="shared" si="21"/>
        <v>22193749.999999996</v>
      </c>
      <c r="AQ87" s="9">
        <f t="shared" si="21"/>
        <v>26632499.999999996</v>
      </c>
      <c r="AR87" s="9">
        <f t="shared" si="21"/>
        <v>17821249.999999996</v>
      </c>
      <c r="AS87" s="9">
        <f t="shared" si="21"/>
        <v>22259999.999999993</v>
      </c>
      <c r="AT87" s="9">
        <f t="shared" si="21"/>
        <v>26698749.999999996</v>
      </c>
      <c r="AU87" s="9">
        <f t="shared" si="21"/>
        <v>31137499.999999996</v>
      </c>
      <c r="AV87" s="9">
        <f t="shared" si="21"/>
        <v>35576249.999999993</v>
      </c>
      <c r="AW87" s="9">
        <f t="shared" si="21"/>
        <v>40015000</v>
      </c>
      <c r="AX87" s="9">
        <f t="shared" si="21"/>
        <v>4438750</v>
      </c>
      <c r="AY87" s="9">
        <f t="shared" si="21"/>
        <v>4438750</v>
      </c>
      <c r="AZ87" s="9">
        <f t="shared" si="21"/>
        <v>4438750</v>
      </c>
      <c r="BA87" s="9">
        <f t="shared" si="21"/>
        <v>4438750</v>
      </c>
      <c r="BB87" s="9">
        <f t="shared" si="21"/>
        <v>4438750</v>
      </c>
      <c r="BC87" s="9">
        <f t="shared" si="21"/>
        <v>4438750</v>
      </c>
      <c r="BD87" s="9">
        <f t="shared" si="21"/>
        <v>2230416.6666666665</v>
      </c>
      <c r="BE87" s="9">
        <f t="shared" si="21"/>
        <v>2230416.6666666665</v>
      </c>
      <c r="BF87" s="9">
        <f t="shared" si="21"/>
        <v>2230416.6666666665</v>
      </c>
      <c r="BG87" s="9">
        <f t="shared" si="21"/>
        <v>2230416.6666666665</v>
      </c>
      <c r="BH87" s="9">
        <f t="shared" si="21"/>
        <v>2230416.6666666665</v>
      </c>
      <c r="BI87" s="9">
        <f t="shared" si="21"/>
        <v>2230416.6666666665</v>
      </c>
    </row>
    <row r="89" spans="1:61" s="75" customFormat="1" ht="12" x14ac:dyDescent="0.25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</row>
    <row r="90" spans="1:61" s="75" customFormat="1" ht="12" x14ac:dyDescent="0.25">
      <c r="A90" s="76" t="s">
        <v>60</v>
      </c>
    </row>
    <row r="91" spans="1:61" s="75" customFormat="1" ht="12" x14ac:dyDescent="0.25">
      <c r="A91" s="76" t="s">
        <v>61</v>
      </c>
    </row>
    <row r="92" spans="1:61" s="75" customFormat="1" ht="12" x14ac:dyDescent="0.25">
      <c r="A92" s="76" t="s">
        <v>130</v>
      </c>
    </row>
    <row r="93" spans="1:61" s="75" customFormat="1" ht="12" x14ac:dyDescent="0.25">
      <c r="A93" s="76" t="s">
        <v>63</v>
      </c>
    </row>
    <row r="94" spans="1:61" s="75" customFormat="1" ht="12" x14ac:dyDescent="0.25">
      <c r="A94" s="117" t="s">
        <v>64</v>
      </c>
      <c r="B94" s="117"/>
      <c r="C94" s="117"/>
      <c r="D94" s="117"/>
      <c r="E94" s="117"/>
      <c r="F94" s="117"/>
      <c r="G94" s="117"/>
    </row>
  </sheetData>
  <sheetProtection formatColumns="0"/>
  <mergeCells count="39">
    <mergeCell ref="N79:Y79"/>
    <mergeCell ref="Z79:AK79"/>
    <mergeCell ref="AL79:AW79"/>
    <mergeCell ref="AX79:BI79"/>
    <mergeCell ref="A71:A72"/>
    <mergeCell ref="B71:M71"/>
    <mergeCell ref="N71:Y71"/>
    <mergeCell ref="Z71:AK71"/>
    <mergeCell ref="AL71:AW71"/>
    <mergeCell ref="B1:M4"/>
    <mergeCell ref="B5:M5"/>
    <mergeCell ref="A8:A9"/>
    <mergeCell ref="B8:M8"/>
    <mergeCell ref="N8:Y8"/>
    <mergeCell ref="AL8:AW8"/>
    <mergeCell ref="AX8:BI8"/>
    <mergeCell ref="A17:A18"/>
    <mergeCell ref="B17:M17"/>
    <mergeCell ref="N17:Y17"/>
    <mergeCell ref="Z17:AK17"/>
    <mergeCell ref="AL17:AW17"/>
    <mergeCell ref="AX17:BI17"/>
    <mergeCell ref="Z8:AK8"/>
    <mergeCell ref="A94:G94"/>
    <mergeCell ref="AX40:BI40"/>
    <mergeCell ref="A26:A27"/>
    <mergeCell ref="B26:M26"/>
    <mergeCell ref="N26:Y26"/>
    <mergeCell ref="Z26:AK26"/>
    <mergeCell ref="AL26:AW26"/>
    <mergeCell ref="AX26:BI26"/>
    <mergeCell ref="A40:A41"/>
    <mergeCell ref="B40:M40"/>
    <mergeCell ref="N40:Y40"/>
    <mergeCell ref="Z40:AK40"/>
    <mergeCell ref="AL40:AW40"/>
    <mergeCell ref="AX71:BI71"/>
    <mergeCell ref="A79:A80"/>
    <mergeCell ref="B79:M79"/>
  </mergeCells>
  <phoneticPr fontId="14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K103"/>
  <sheetViews>
    <sheetView showGridLines="0" zoomScaleNormal="100" workbookViewId="0">
      <selection activeCell="C12" sqref="C12"/>
    </sheetView>
  </sheetViews>
  <sheetFormatPr baseColWidth="10" defaultColWidth="11" defaultRowHeight="15.6" x14ac:dyDescent="0.3"/>
  <cols>
    <col min="1" max="1" width="53.59765625" bestFit="1" customWidth="1"/>
    <col min="2" max="2" width="26.09765625" customWidth="1"/>
    <col min="3" max="63" width="19.8984375" customWidth="1"/>
  </cols>
  <sheetData>
    <row r="1" spans="1:63" ht="15.9" customHeight="1" x14ac:dyDescent="0.3">
      <c r="C1" s="133" t="str">
        <f>CONCATENATE(INICIO!$B$10," ",INICIO!$B$11)</f>
        <v>TIZA S.A.S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63" ht="15.9" customHeight="1" x14ac:dyDescent="0.3"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 spans="1:63" ht="15.9" customHeight="1" x14ac:dyDescent="0.3"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</row>
    <row r="4" spans="1:63" ht="15.9" customHeight="1" x14ac:dyDescent="0.3"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</row>
    <row r="5" spans="1:63" x14ac:dyDescent="0.3">
      <c r="C5" s="134" t="s">
        <v>193</v>
      </c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</row>
    <row r="7" spans="1:63" x14ac:dyDescent="0.3">
      <c r="A7" s="3"/>
      <c r="B7" s="3"/>
    </row>
    <row r="8" spans="1:63" x14ac:dyDescent="0.3">
      <c r="A8" s="123" t="s">
        <v>194</v>
      </c>
      <c r="B8" s="11"/>
      <c r="C8" s="11"/>
      <c r="D8" s="103">
        <f>Año1</f>
        <v>2027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>
        <f>Año2</f>
        <v>2028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>
        <f>Año3</f>
        <v>2029</v>
      </c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>
        <f>Año4</f>
        <v>2030</v>
      </c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>
        <f>Año5</f>
        <v>2031</v>
      </c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</row>
    <row r="9" spans="1:63" x14ac:dyDescent="0.3">
      <c r="A9" s="123"/>
      <c r="B9" s="11" t="s">
        <v>195</v>
      </c>
      <c r="C9" s="11" t="s">
        <v>196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74</v>
      </c>
      <c r="L9" s="4" t="s">
        <v>75</v>
      </c>
      <c r="M9" s="4" t="s">
        <v>76</v>
      </c>
      <c r="N9" s="4" t="s">
        <v>77</v>
      </c>
      <c r="O9" s="4" t="s">
        <v>78</v>
      </c>
      <c r="P9" s="4" t="s">
        <v>79</v>
      </c>
      <c r="Q9" s="4" t="s">
        <v>80</v>
      </c>
      <c r="R9" s="4" t="s">
        <v>81</v>
      </c>
      <c r="S9" s="4" t="s">
        <v>82</v>
      </c>
      <c r="T9" s="4" t="s">
        <v>83</v>
      </c>
      <c r="U9" s="4" t="s">
        <v>84</v>
      </c>
      <c r="V9" s="4" t="s">
        <v>85</v>
      </c>
      <c r="W9" s="4" t="s">
        <v>86</v>
      </c>
      <c r="X9" s="4" t="s">
        <v>87</v>
      </c>
      <c r="Y9" s="4" t="s">
        <v>88</v>
      </c>
      <c r="Z9" s="4" t="s">
        <v>89</v>
      </c>
      <c r="AA9" s="4" t="s">
        <v>90</v>
      </c>
      <c r="AB9" s="4" t="s">
        <v>91</v>
      </c>
      <c r="AC9" s="4" t="s">
        <v>92</v>
      </c>
      <c r="AD9" s="4" t="s">
        <v>93</v>
      </c>
      <c r="AE9" s="4" t="s">
        <v>94</v>
      </c>
      <c r="AF9" s="4" t="s">
        <v>95</v>
      </c>
      <c r="AG9" s="4" t="s">
        <v>96</v>
      </c>
      <c r="AH9" s="4" t="s">
        <v>97</v>
      </c>
      <c r="AI9" s="4" t="s">
        <v>98</v>
      </c>
      <c r="AJ9" s="4" t="s">
        <v>99</v>
      </c>
      <c r="AK9" s="4" t="s">
        <v>100</v>
      </c>
      <c r="AL9" s="4" t="s">
        <v>101</v>
      </c>
      <c r="AM9" s="4" t="s">
        <v>102</v>
      </c>
      <c r="AN9" s="4" t="s">
        <v>103</v>
      </c>
      <c r="AO9" s="4" t="s">
        <v>104</v>
      </c>
      <c r="AP9" s="4" t="s">
        <v>105</v>
      </c>
      <c r="AQ9" s="4" t="s">
        <v>106</v>
      </c>
      <c r="AR9" s="4" t="s">
        <v>107</v>
      </c>
      <c r="AS9" s="4" t="s">
        <v>108</v>
      </c>
      <c r="AT9" s="4" t="s">
        <v>109</v>
      </c>
      <c r="AU9" s="4" t="s">
        <v>110</v>
      </c>
      <c r="AV9" s="4" t="s">
        <v>111</v>
      </c>
      <c r="AW9" s="4" t="s">
        <v>112</v>
      </c>
      <c r="AX9" s="4" t="s">
        <v>113</v>
      </c>
      <c r="AY9" s="4" t="s">
        <v>114</v>
      </c>
      <c r="AZ9" s="4" t="s">
        <v>115</v>
      </c>
      <c r="BA9" s="4" t="s">
        <v>116</v>
      </c>
      <c r="BB9" s="4" t="s">
        <v>117</v>
      </c>
      <c r="BC9" s="4" t="s">
        <v>118</v>
      </c>
      <c r="BD9" s="4" t="s">
        <v>119</v>
      </c>
      <c r="BE9" s="4" t="s">
        <v>120</v>
      </c>
      <c r="BF9" s="4" t="s">
        <v>121</v>
      </c>
      <c r="BG9" s="4" t="s">
        <v>122</v>
      </c>
      <c r="BH9" s="4" t="s">
        <v>123</v>
      </c>
      <c r="BI9" s="4" t="s">
        <v>124</v>
      </c>
      <c r="BJ9" s="4" t="s">
        <v>125</v>
      </c>
      <c r="BK9" s="4" t="s">
        <v>126</v>
      </c>
    </row>
    <row r="10" spans="1:63" x14ac:dyDescent="0.3">
      <c r="A10" s="15" t="s">
        <v>307</v>
      </c>
      <c r="B10" s="26">
        <v>60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</row>
    <row r="11" spans="1:63" x14ac:dyDescent="0.3">
      <c r="A11" s="15" t="s">
        <v>308</v>
      </c>
      <c r="B11" s="26">
        <v>60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</row>
    <row r="12" spans="1:63" x14ac:dyDescent="0.3">
      <c r="A12" s="15" t="s">
        <v>309</v>
      </c>
      <c r="B12" s="26">
        <v>60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</row>
    <row r="13" spans="1:63" x14ac:dyDescent="0.3">
      <c r="A13" s="15" t="s">
        <v>310</v>
      </c>
      <c r="B13" s="26">
        <v>60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</row>
    <row r="14" spans="1:63" x14ac:dyDescent="0.3">
      <c r="A14" s="15" t="s">
        <v>311</v>
      </c>
      <c r="B14" s="26">
        <v>60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</row>
    <row r="15" spans="1:63" x14ac:dyDescent="0.3">
      <c r="A15" s="15"/>
      <c r="B15" s="26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</row>
    <row r="16" spans="1:63" x14ac:dyDescent="0.3">
      <c r="A16" s="15"/>
      <c r="B16" s="26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</row>
    <row r="17" spans="1:63" x14ac:dyDescent="0.3">
      <c r="A17" s="15"/>
      <c r="B17" s="26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</row>
    <row r="18" spans="1:63" x14ac:dyDescent="0.3">
      <c r="A18" s="15"/>
      <c r="B18" s="2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</row>
    <row r="19" spans="1:63" x14ac:dyDescent="0.3">
      <c r="A19" s="15"/>
      <c r="B19" s="26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</row>
    <row r="20" spans="1:63" x14ac:dyDescent="0.3">
      <c r="A20" s="15"/>
      <c r="B20" s="26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</row>
    <row r="21" spans="1:63" x14ac:dyDescent="0.3">
      <c r="A21" s="15"/>
      <c r="B21" s="2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</row>
    <row r="22" spans="1:63" x14ac:dyDescent="0.3">
      <c r="A22" s="15"/>
      <c r="B22" s="2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</row>
    <row r="23" spans="1:63" x14ac:dyDescent="0.3">
      <c r="A23" s="15"/>
      <c r="B23" s="26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</row>
    <row r="24" spans="1:63" x14ac:dyDescent="0.3">
      <c r="A24" s="15"/>
      <c r="B24" s="26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</row>
    <row r="25" spans="1:63" x14ac:dyDescent="0.3">
      <c r="A25" s="15"/>
      <c r="B25" s="26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</row>
    <row r="26" spans="1:63" x14ac:dyDescent="0.3">
      <c r="A26" s="15"/>
      <c r="B26" s="26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</row>
    <row r="27" spans="1:63" x14ac:dyDescent="0.3">
      <c r="A27" s="15"/>
      <c r="B27" s="26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</row>
    <row r="28" spans="1:63" x14ac:dyDescent="0.3">
      <c r="A28" s="15"/>
      <c r="B28" s="26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</row>
    <row r="29" spans="1:63" x14ac:dyDescent="0.3">
      <c r="A29" s="15"/>
      <c r="B29" s="26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</row>
    <row r="30" spans="1:63" x14ac:dyDescent="0.3">
      <c r="A30" s="15"/>
      <c r="B30" s="26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</row>
    <row r="31" spans="1:63" x14ac:dyDescent="0.3">
      <c r="A31" s="15"/>
      <c r="B31" s="26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</row>
    <row r="32" spans="1:63" x14ac:dyDescent="0.3">
      <c r="A32" s="15"/>
      <c r="B32" s="26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</row>
    <row r="33" spans="1:63" x14ac:dyDescent="0.3">
      <c r="A33" s="15"/>
      <c r="B33" s="26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</row>
    <row r="34" spans="1:63" x14ac:dyDescent="0.3">
      <c r="A34" s="15"/>
      <c r="B34" s="26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</row>
    <row r="35" spans="1:63" x14ac:dyDescent="0.3">
      <c r="A35" s="15"/>
      <c r="B35" s="26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</row>
    <row r="36" spans="1:63" x14ac:dyDescent="0.3">
      <c r="A36" s="8" t="s">
        <v>197</v>
      </c>
      <c r="B36" s="8"/>
      <c r="C36" s="9">
        <f>SUM(C10:C35)</f>
        <v>0</v>
      </c>
      <c r="D36" s="9">
        <f t="shared" ref="D36:AI36" si="0">SUM(D10:D30)</f>
        <v>0</v>
      </c>
      <c r="E36" s="9">
        <f t="shared" si="0"/>
        <v>0</v>
      </c>
      <c r="F36" s="9">
        <f t="shared" si="0"/>
        <v>0</v>
      </c>
      <c r="G36" s="9">
        <f t="shared" si="0"/>
        <v>0</v>
      </c>
      <c r="H36" s="9">
        <f t="shared" si="0"/>
        <v>0</v>
      </c>
      <c r="I36" s="9">
        <f t="shared" si="0"/>
        <v>0</v>
      </c>
      <c r="J36" s="9">
        <f t="shared" si="0"/>
        <v>0</v>
      </c>
      <c r="K36" s="9">
        <f t="shared" si="0"/>
        <v>0</v>
      </c>
      <c r="L36" s="9">
        <f t="shared" si="0"/>
        <v>0</v>
      </c>
      <c r="M36" s="9">
        <f t="shared" si="0"/>
        <v>0</v>
      </c>
      <c r="N36" s="9">
        <f t="shared" si="0"/>
        <v>0</v>
      </c>
      <c r="O36" s="9">
        <f t="shared" si="0"/>
        <v>0</v>
      </c>
      <c r="P36" s="9">
        <f t="shared" si="0"/>
        <v>0</v>
      </c>
      <c r="Q36" s="9">
        <f t="shared" si="0"/>
        <v>0</v>
      </c>
      <c r="R36" s="9">
        <f t="shared" si="0"/>
        <v>0</v>
      </c>
      <c r="S36" s="9">
        <f t="shared" si="0"/>
        <v>0</v>
      </c>
      <c r="T36" s="9">
        <f t="shared" si="0"/>
        <v>0</v>
      </c>
      <c r="U36" s="9">
        <f t="shared" si="0"/>
        <v>0</v>
      </c>
      <c r="V36" s="9">
        <f t="shared" si="0"/>
        <v>0</v>
      </c>
      <c r="W36" s="9">
        <f t="shared" si="0"/>
        <v>0</v>
      </c>
      <c r="X36" s="9">
        <f t="shared" si="0"/>
        <v>0</v>
      </c>
      <c r="Y36" s="9">
        <f t="shared" si="0"/>
        <v>0</v>
      </c>
      <c r="Z36" s="9">
        <f t="shared" si="0"/>
        <v>0</v>
      </c>
      <c r="AA36" s="9">
        <f t="shared" si="0"/>
        <v>0</v>
      </c>
      <c r="AB36" s="9">
        <f t="shared" si="0"/>
        <v>0</v>
      </c>
      <c r="AC36" s="9">
        <f t="shared" si="0"/>
        <v>0</v>
      </c>
      <c r="AD36" s="9">
        <f t="shared" si="0"/>
        <v>0</v>
      </c>
      <c r="AE36" s="9">
        <f t="shared" si="0"/>
        <v>0</v>
      </c>
      <c r="AF36" s="9">
        <f t="shared" si="0"/>
        <v>0</v>
      </c>
      <c r="AG36" s="9">
        <f t="shared" si="0"/>
        <v>0</v>
      </c>
      <c r="AH36" s="9">
        <f t="shared" si="0"/>
        <v>0</v>
      </c>
      <c r="AI36" s="9">
        <f t="shared" si="0"/>
        <v>0</v>
      </c>
      <c r="AJ36" s="9">
        <f t="shared" ref="AJ36:BK36" si="1">SUM(AJ10:AJ30)</f>
        <v>0</v>
      </c>
      <c r="AK36" s="9">
        <f t="shared" si="1"/>
        <v>0</v>
      </c>
      <c r="AL36" s="9">
        <f t="shared" si="1"/>
        <v>0</v>
      </c>
      <c r="AM36" s="9">
        <f t="shared" si="1"/>
        <v>0</v>
      </c>
      <c r="AN36" s="9">
        <f t="shared" si="1"/>
        <v>0</v>
      </c>
      <c r="AO36" s="9">
        <f t="shared" si="1"/>
        <v>0</v>
      </c>
      <c r="AP36" s="9">
        <f t="shared" si="1"/>
        <v>0</v>
      </c>
      <c r="AQ36" s="9">
        <f t="shared" si="1"/>
        <v>0</v>
      </c>
      <c r="AR36" s="9">
        <f t="shared" si="1"/>
        <v>0</v>
      </c>
      <c r="AS36" s="9">
        <f t="shared" si="1"/>
        <v>0</v>
      </c>
      <c r="AT36" s="9">
        <f t="shared" si="1"/>
        <v>0</v>
      </c>
      <c r="AU36" s="9">
        <f t="shared" si="1"/>
        <v>0</v>
      </c>
      <c r="AV36" s="9">
        <f t="shared" si="1"/>
        <v>0</v>
      </c>
      <c r="AW36" s="9">
        <f t="shared" si="1"/>
        <v>0</v>
      </c>
      <c r="AX36" s="9">
        <f t="shared" si="1"/>
        <v>0</v>
      </c>
      <c r="AY36" s="9">
        <f t="shared" si="1"/>
        <v>0</v>
      </c>
      <c r="AZ36" s="9">
        <f t="shared" si="1"/>
        <v>0</v>
      </c>
      <c r="BA36" s="9">
        <f t="shared" si="1"/>
        <v>0</v>
      </c>
      <c r="BB36" s="9">
        <f t="shared" si="1"/>
        <v>0</v>
      </c>
      <c r="BC36" s="9">
        <f t="shared" si="1"/>
        <v>0</v>
      </c>
      <c r="BD36" s="9">
        <f t="shared" si="1"/>
        <v>0</v>
      </c>
      <c r="BE36" s="9">
        <f t="shared" si="1"/>
        <v>0</v>
      </c>
      <c r="BF36" s="9">
        <f t="shared" si="1"/>
        <v>0</v>
      </c>
      <c r="BG36" s="9">
        <f t="shared" si="1"/>
        <v>0</v>
      </c>
      <c r="BH36" s="9">
        <f t="shared" si="1"/>
        <v>0</v>
      </c>
      <c r="BI36" s="9">
        <f t="shared" si="1"/>
        <v>0</v>
      </c>
      <c r="BJ36" s="9">
        <f t="shared" si="1"/>
        <v>0</v>
      </c>
      <c r="BK36" s="9">
        <f t="shared" si="1"/>
        <v>0</v>
      </c>
    </row>
    <row r="38" spans="1:63" x14ac:dyDescent="0.3">
      <c r="A38" s="24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</row>
    <row r="39" spans="1:63" hidden="1" x14ac:dyDescent="0.3">
      <c r="A39" s="137" t="s">
        <v>198</v>
      </c>
      <c r="B39" s="138"/>
      <c r="C39" s="141">
        <f>Año1</f>
        <v>2027</v>
      </c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>
        <f>Año2</f>
        <v>2028</v>
      </c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>
        <f>Año3</f>
        <v>2029</v>
      </c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>
        <f>Año4</f>
        <v>2030</v>
      </c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>
        <f>Año5</f>
        <v>2031</v>
      </c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</row>
    <row r="40" spans="1:63" hidden="1" x14ac:dyDescent="0.3">
      <c r="A40" s="139"/>
      <c r="B40" s="140"/>
      <c r="C40" s="4" t="s">
        <v>67</v>
      </c>
      <c r="D40" s="4" t="s">
        <v>68</v>
      </c>
      <c r="E40" s="4" t="s">
        <v>69</v>
      </c>
      <c r="F40" s="4" t="s">
        <v>70</v>
      </c>
      <c r="G40" s="4" t="s">
        <v>71</v>
      </c>
      <c r="H40" s="4" t="s">
        <v>72</v>
      </c>
      <c r="I40" s="4" t="s">
        <v>73</v>
      </c>
      <c r="J40" s="4" t="s">
        <v>74</v>
      </c>
      <c r="K40" s="4" t="s">
        <v>75</v>
      </c>
      <c r="L40" s="4" t="s">
        <v>76</v>
      </c>
      <c r="M40" s="4" t="s">
        <v>77</v>
      </c>
      <c r="N40" s="4" t="s">
        <v>78</v>
      </c>
      <c r="O40" s="4" t="s">
        <v>79</v>
      </c>
      <c r="P40" s="4" t="s">
        <v>80</v>
      </c>
      <c r="Q40" s="4" t="s">
        <v>81</v>
      </c>
      <c r="R40" s="4" t="s">
        <v>82</v>
      </c>
      <c r="S40" s="4" t="s">
        <v>83</v>
      </c>
      <c r="T40" s="4" t="s">
        <v>84</v>
      </c>
      <c r="U40" s="4" t="s">
        <v>85</v>
      </c>
      <c r="V40" s="4" t="s">
        <v>86</v>
      </c>
      <c r="W40" s="4" t="s">
        <v>87</v>
      </c>
      <c r="X40" s="4" t="s">
        <v>88</v>
      </c>
      <c r="Y40" s="4" t="s">
        <v>89</v>
      </c>
      <c r="Z40" s="4" t="s">
        <v>90</v>
      </c>
      <c r="AA40" s="4" t="s">
        <v>91</v>
      </c>
      <c r="AB40" s="4" t="s">
        <v>92</v>
      </c>
      <c r="AC40" s="4" t="s">
        <v>93</v>
      </c>
      <c r="AD40" s="4" t="s">
        <v>94</v>
      </c>
      <c r="AE40" s="4" t="s">
        <v>95</v>
      </c>
      <c r="AF40" s="4" t="s">
        <v>96</v>
      </c>
      <c r="AG40" s="4" t="s">
        <v>97</v>
      </c>
      <c r="AH40" s="4" t="s">
        <v>98</v>
      </c>
      <c r="AI40" s="4" t="s">
        <v>99</v>
      </c>
      <c r="AJ40" s="4" t="s">
        <v>100</v>
      </c>
      <c r="AK40" s="4" t="s">
        <v>101</v>
      </c>
      <c r="AL40" s="4" t="s">
        <v>102</v>
      </c>
      <c r="AM40" s="4" t="s">
        <v>103</v>
      </c>
      <c r="AN40" s="4" t="s">
        <v>104</v>
      </c>
      <c r="AO40" s="4" t="s">
        <v>105</v>
      </c>
      <c r="AP40" s="4" t="s">
        <v>106</v>
      </c>
      <c r="AQ40" s="4" t="s">
        <v>107</v>
      </c>
      <c r="AR40" s="4" t="s">
        <v>108</v>
      </c>
      <c r="AS40" s="4" t="s">
        <v>109</v>
      </c>
      <c r="AT40" s="4" t="s">
        <v>110</v>
      </c>
      <c r="AU40" s="4" t="s">
        <v>111</v>
      </c>
      <c r="AV40" s="4" t="s">
        <v>112</v>
      </c>
      <c r="AW40" s="4" t="s">
        <v>113</v>
      </c>
      <c r="AX40" s="4" t="s">
        <v>114</v>
      </c>
      <c r="AY40" s="4" t="s">
        <v>115</v>
      </c>
      <c r="AZ40" s="4" t="s">
        <v>116</v>
      </c>
      <c r="BA40" s="4" t="s">
        <v>117</v>
      </c>
      <c r="BB40" s="4" t="s">
        <v>118</v>
      </c>
      <c r="BC40" s="4" t="s">
        <v>119</v>
      </c>
      <c r="BD40" s="4" t="s">
        <v>120</v>
      </c>
      <c r="BE40" s="4" t="s">
        <v>121</v>
      </c>
      <c r="BF40" s="4" t="s">
        <v>122</v>
      </c>
      <c r="BG40" s="4" t="s">
        <v>123</v>
      </c>
      <c r="BH40" s="4" t="s">
        <v>124</v>
      </c>
      <c r="BI40" s="4" t="s">
        <v>125</v>
      </c>
      <c r="BJ40" s="4" t="s">
        <v>126</v>
      </c>
    </row>
    <row r="41" spans="1:63" hidden="1" x14ac:dyDescent="0.3">
      <c r="A41" s="135" t="str">
        <f t="shared" ref="A41:A66" si="2">CONCATENATE("Depreciación del activo"," ",A10)</f>
        <v>Depreciación del activo Laptop Desarrollador 1</v>
      </c>
      <c r="B41" s="136"/>
      <c r="C41" s="32">
        <f>IF($B$10&gt;0,SUM($C$10:C10)/$B$10,0)</f>
        <v>0</v>
      </c>
      <c r="D41" s="32">
        <f>IF($B$10&gt;0,SUM($C$10:D10)/$B$10,0)</f>
        <v>0</v>
      </c>
      <c r="E41" s="32">
        <f>IF($B$10&gt;0,SUM($C$10:E10)/$B$10,0)</f>
        <v>0</v>
      </c>
      <c r="F41" s="32">
        <f>IF($B$10&gt;0,SUM($C$10:F10)/$B$10,0)</f>
        <v>0</v>
      </c>
      <c r="G41" s="32">
        <f>IF($B$10&gt;0,SUM($C$10:G10)/$B$10,0)</f>
        <v>0</v>
      </c>
      <c r="H41" s="32">
        <f>IF($B$10&gt;0,SUM($C$10:H10)/$B$10,0)</f>
        <v>0</v>
      </c>
      <c r="I41" s="32">
        <f>IF($B$10&gt;0,SUM($C$10:I10)/$B$10,0)</f>
        <v>0</v>
      </c>
      <c r="J41" s="32">
        <f>IF($B$10&gt;0,SUM($C$10:J10)/$B$10,0)</f>
        <v>0</v>
      </c>
      <c r="K41" s="32">
        <f>IF($B$10&gt;0,SUM($C$10:K10)/$B$10,0)</f>
        <v>0</v>
      </c>
      <c r="L41" s="32">
        <f>IF($B$10&gt;0,SUM($C$10:L10)/$B$10,0)</f>
        <v>0</v>
      </c>
      <c r="M41" s="32">
        <f>IF($B$10&gt;0,SUM($C$10:M10)/$B$10,0)</f>
        <v>0</v>
      </c>
      <c r="N41" s="32">
        <f>IF($B$10&gt;0,SUM($C$10:N10)/$B$10,0)</f>
        <v>0</v>
      </c>
      <c r="O41" s="32">
        <f>IF($B$10&gt;0,SUM($C$10:O10)/$B$10,0)</f>
        <v>0</v>
      </c>
      <c r="P41" s="32">
        <f>IF($B$10&gt;0,SUM($C$10:P10)/$B$10,0)</f>
        <v>0</v>
      </c>
      <c r="Q41" s="32">
        <f>IF($B$10&gt;0,SUM($C$10:Q10)/$B$10,0)</f>
        <v>0</v>
      </c>
      <c r="R41" s="32">
        <f>IF($B$10&gt;0,SUM($C$10:R10)/$B$10,0)</f>
        <v>0</v>
      </c>
      <c r="S41" s="32">
        <f>IF($B$10&gt;0,SUM($C$10:S10)/$B$10,0)</f>
        <v>0</v>
      </c>
      <c r="T41" s="32">
        <f>IF($B$10&gt;0,SUM($C$10:T10)/$B$10,0)</f>
        <v>0</v>
      </c>
      <c r="U41" s="32">
        <f>IF($B$10&gt;0,SUM($C$10:U10)/$B$10,0)</f>
        <v>0</v>
      </c>
      <c r="V41" s="32">
        <f>IF($B$10&gt;0,SUM($C$10:V10)/$B$10,0)</f>
        <v>0</v>
      </c>
      <c r="W41" s="32">
        <f>IF($B$10&gt;0,SUM($C$10:W10)/$B$10,0)</f>
        <v>0</v>
      </c>
      <c r="X41" s="32">
        <f>IF($B$10&gt;0,SUM($C$10:X10)/$B$10,0)</f>
        <v>0</v>
      </c>
      <c r="Y41" s="32">
        <f>IF($B$10&gt;0,SUM($C$10:Y10)/$B$10,0)</f>
        <v>0</v>
      </c>
      <c r="Z41" s="32">
        <f>IF($B$10&gt;0,SUM($C$10:Z10)/$B$10,0)</f>
        <v>0</v>
      </c>
      <c r="AA41" s="32">
        <f>IF($B$10&gt;0,SUM($C$10:AA10)/$B$10,0)</f>
        <v>0</v>
      </c>
      <c r="AB41" s="32">
        <f>IF($B$10&gt;0,SUM($C$10:AB10)/$B$10,0)</f>
        <v>0</v>
      </c>
      <c r="AC41" s="32">
        <f>IF($B$10&gt;0,SUM($C$10:AC10)/$B$10,0)</f>
        <v>0</v>
      </c>
      <c r="AD41" s="32">
        <f>IF($B$10&gt;0,SUM($C$10:AD10)/$B$10,0)</f>
        <v>0</v>
      </c>
      <c r="AE41" s="32">
        <f>IF($B$10&gt;0,SUM($C$10:AE10)/$B$10,0)</f>
        <v>0</v>
      </c>
      <c r="AF41" s="32">
        <f>IF($B$10&gt;0,SUM($C$10:AF10)/$B$10,0)</f>
        <v>0</v>
      </c>
      <c r="AG41" s="32">
        <f>IF($B$10&gt;0,SUM($C$10:AG10)/$B$10,0)</f>
        <v>0</v>
      </c>
      <c r="AH41" s="32">
        <f>IF($B$10&gt;0,SUM($C$10:AH10)/$B$10,0)</f>
        <v>0</v>
      </c>
      <c r="AI41" s="32">
        <f>IF($B$10&gt;0,SUM($C$10:AI10)/$B$10,0)</f>
        <v>0</v>
      </c>
      <c r="AJ41" s="32">
        <f>IF($B$10&gt;0,SUM($C$10:AJ10)/$B$10,0)</f>
        <v>0</v>
      </c>
      <c r="AK41" s="32">
        <f>IF($B$10&gt;0,SUM($C$10:AK10)/$B$10,0)</f>
        <v>0</v>
      </c>
      <c r="AL41" s="32">
        <f>IF($B$10&gt;0,SUM($C$10:AL10)/$B$10,0)</f>
        <v>0</v>
      </c>
      <c r="AM41" s="32">
        <f>IF($B$10&gt;0,SUM($C$10:AM10)/$B$10,0)</f>
        <v>0</v>
      </c>
      <c r="AN41" s="32">
        <f>IF($B$10&gt;0,SUM($C$10:AN10)/$B$10,0)</f>
        <v>0</v>
      </c>
      <c r="AO41" s="32">
        <f>IF($B$10&gt;0,SUM($C$10:AO10)/$B$10,0)</f>
        <v>0</v>
      </c>
      <c r="AP41" s="32">
        <f>IF($B$10&gt;0,SUM($C$10:AP10)/$B$10,0)</f>
        <v>0</v>
      </c>
      <c r="AQ41" s="32">
        <f>IF($B$10&gt;0,SUM($C$10:AQ10)/$B$10,0)</f>
        <v>0</v>
      </c>
      <c r="AR41" s="32">
        <f>IF($B$10&gt;0,SUM($C$10:AR10)/$B$10,0)</f>
        <v>0</v>
      </c>
      <c r="AS41" s="32">
        <f>IF($B$10&gt;0,SUM($C$10:AS10)/$B$10,0)</f>
        <v>0</v>
      </c>
      <c r="AT41" s="32">
        <f>IF($B$10&gt;0,SUM($C$10:AT10)/$B$10,0)</f>
        <v>0</v>
      </c>
      <c r="AU41" s="32">
        <f>IF($B$10&gt;0,SUM($C$10:AU10)/$B$10,0)</f>
        <v>0</v>
      </c>
      <c r="AV41" s="32">
        <f>IF($B$10&gt;0,SUM($C$10:AV10)/$B$10,0)</f>
        <v>0</v>
      </c>
      <c r="AW41" s="32">
        <f>IF($B$10&gt;0,SUM($C$10:AW10)/$B$10,0)</f>
        <v>0</v>
      </c>
      <c r="AX41" s="32">
        <f>IF($B$10&gt;0,SUM($C$10:AX10)/$B$10,0)</f>
        <v>0</v>
      </c>
      <c r="AY41" s="32">
        <f>IF($B$10&gt;0,SUM($C$10:AY10)/$B$10,0)</f>
        <v>0</v>
      </c>
      <c r="AZ41" s="32">
        <f>IF($B$10&gt;0,SUM($C$10:AZ10)/$B$10,0)</f>
        <v>0</v>
      </c>
      <c r="BA41" s="32">
        <f>IF($B$10&gt;0,SUM($C$10:BA10)/$B$10,0)</f>
        <v>0</v>
      </c>
      <c r="BB41" s="32">
        <f>IF($B$10&gt;0,SUM($C$10:BB10)/$B$10,0)</f>
        <v>0</v>
      </c>
      <c r="BC41" s="32">
        <f>IF($B$10&gt;0,SUM($C$10:BC10)/$B$10,0)</f>
        <v>0</v>
      </c>
      <c r="BD41" s="32">
        <f>IF($B$10&gt;0,SUM($C$10:BD10)/$B$10,0)</f>
        <v>0</v>
      </c>
      <c r="BE41" s="32">
        <f>IF($B$10&gt;0,SUM($C$10:BE10)/$B$10,0)</f>
        <v>0</v>
      </c>
      <c r="BF41" s="32">
        <f>IF($B$10&gt;0,SUM($C$10:BF10)/$B$10,0)</f>
        <v>0</v>
      </c>
      <c r="BG41" s="32">
        <f>IF($B$10&gt;0,SUM($C$10:BG10)/$B$10,0)</f>
        <v>0</v>
      </c>
      <c r="BH41" s="32">
        <f>IF($B$10&gt;0,SUM($C$10:BH10)/$B$10,0)</f>
        <v>0</v>
      </c>
      <c r="BI41" s="32">
        <f>IF($B$10&gt;0,SUM($C$10:BI10)/$B$10,0)</f>
        <v>0</v>
      </c>
      <c r="BJ41" s="32">
        <f>IF($B$10&gt;0,SUM($C$10:BJ10)/$B$10,0)</f>
        <v>0</v>
      </c>
    </row>
    <row r="42" spans="1:63" hidden="1" x14ac:dyDescent="0.3">
      <c r="A42" s="135" t="str">
        <f t="shared" si="2"/>
        <v>Depreciación del activo Laptop Desarrollador 2</v>
      </c>
      <c r="B42" s="136"/>
      <c r="C42" s="32">
        <f>IF($B$11&gt;0,SUM($C$11:C11)/$B$11,0)</f>
        <v>0</v>
      </c>
      <c r="D42" s="32">
        <f>IF($B$11&gt;0,SUM($C$11:D11)/$B$11,0)</f>
        <v>0</v>
      </c>
      <c r="E42" s="32">
        <f>IF($B$11&gt;0,SUM($C$11:E11)/$B$11,0)</f>
        <v>0</v>
      </c>
      <c r="F42" s="32">
        <f>IF($B$11&gt;0,SUM($C$11:F11)/$B$11,0)</f>
        <v>0</v>
      </c>
      <c r="G42" s="32">
        <f>IF($B$11&gt;0,SUM($C$11:G11)/$B$11,0)</f>
        <v>0</v>
      </c>
      <c r="H42" s="32">
        <f>IF($B$11&gt;0,SUM($C$11:H11)/$B$11,0)</f>
        <v>0</v>
      </c>
      <c r="I42" s="32">
        <f>IF($B$11&gt;0,SUM($C$11:I11)/$B$11,0)</f>
        <v>0</v>
      </c>
      <c r="J42" s="32">
        <f>IF($B$11&gt;0,SUM($C$11:J11)/$B$11,0)</f>
        <v>0</v>
      </c>
      <c r="K42" s="32">
        <f>IF($B$11&gt;0,SUM($C$11:K11)/$B$11,0)</f>
        <v>0</v>
      </c>
      <c r="L42" s="32">
        <f>IF($B$11&gt;0,SUM($C$11:L11)/$B$11,0)</f>
        <v>0</v>
      </c>
      <c r="M42" s="32">
        <f>IF($B$11&gt;0,SUM($C$11:M11)/$B$11,0)</f>
        <v>0</v>
      </c>
      <c r="N42" s="32">
        <f>IF($B$11&gt;0,SUM($C$11:N11)/$B$11,0)</f>
        <v>0</v>
      </c>
      <c r="O42" s="32">
        <f>IF($B$11&gt;0,SUM($C$11:O11)/$B$11,0)</f>
        <v>0</v>
      </c>
      <c r="P42" s="32">
        <f>IF($B$11&gt;0,SUM($C$11:P11)/$B$11,0)</f>
        <v>0</v>
      </c>
      <c r="Q42" s="32">
        <f>IF($B$11&gt;0,SUM($C$11:Q11)/$B$11,0)</f>
        <v>0</v>
      </c>
      <c r="R42" s="32">
        <f>IF($B$11&gt;0,SUM($C$11:R11)/$B$11,0)</f>
        <v>0</v>
      </c>
      <c r="S42" s="32">
        <f>IF($B$11&gt;0,SUM($C$11:S11)/$B$11,0)</f>
        <v>0</v>
      </c>
      <c r="T42" s="32">
        <f>IF($B$11&gt;0,SUM($C$11:T11)/$B$11,0)</f>
        <v>0</v>
      </c>
      <c r="U42" s="32">
        <f>IF($B$11&gt;0,SUM($C$11:U11)/$B$11,0)</f>
        <v>0</v>
      </c>
      <c r="V42" s="32">
        <f>IF($B$11&gt;0,SUM($C$11:V11)/$B$11,0)</f>
        <v>0</v>
      </c>
      <c r="W42" s="32">
        <f>IF($B$11&gt;0,SUM($C$11:W11)/$B$11,0)</f>
        <v>0</v>
      </c>
      <c r="X42" s="32">
        <f>IF($B$11&gt;0,SUM($C$11:X11)/$B$11,0)</f>
        <v>0</v>
      </c>
      <c r="Y42" s="32">
        <f>IF($B$11&gt;0,SUM($C$11:Y11)/$B$11,0)</f>
        <v>0</v>
      </c>
      <c r="Z42" s="32">
        <f>IF($B$11&gt;0,SUM($C$11:Z11)/$B$11,0)</f>
        <v>0</v>
      </c>
      <c r="AA42" s="32">
        <f>IF($B$11&gt;0,SUM($C$11:AA11)/$B$11,0)</f>
        <v>0</v>
      </c>
      <c r="AB42" s="32">
        <f>IF($B$11&gt;0,SUM($C$11:AB11)/$B$11,0)</f>
        <v>0</v>
      </c>
      <c r="AC42" s="32">
        <f>IF($B$11&gt;0,SUM($C$11:AC11)/$B$11,0)</f>
        <v>0</v>
      </c>
      <c r="AD42" s="32">
        <f>IF($B$11&gt;0,SUM($C$11:AD11)/$B$11,0)</f>
        <v>0</v>
      </c>
      <c r="AE42" s="32">
        <f>IF($B$11&gt;0,SUM($C$11:AE11)/$B$11,0)</f>
        <v>0</v>
      </c>
      <c r="AF42" s="32">
        <f>IF($B$11&gt;0,SUM($C$11:AF11)/$B$11,0)</f>
        <v>0</v>
      </c>
      <c r="AG42" s="32">
        <f>IF($B$11&gt;0,SUM($C$11:AG11)/$B$11,0)</f>
        <v>0</v>
      </c>
      <c r="AH42" s="32">
        <f>IF($B$11&gt;0,SUM($C$11:AH11)/$B$11,0)</f>
        <v>0</v>
      </c>
      <c r="AI42" s="32">
        <f>IF($B$11&gt;0,SUM($C$11:AI11)/$B$11,0)</f>
        <v>0</v>
      </c>
      <c r="AJ42" s="32">
        <f>IF($B$11&gt;0,SUM($C$11:AJ11)/$B$11,0)</f>
        <v>0</v>
      </c>
      <c r="AK42" s="32">
        <f>IF($B$11&gt;0,SUM($C$11:AK11)/$B$11,0)</f>
        <v>0</v>
      </c>
      <c r="AL42" s="32">
        <f>IF($B$11&gt;0,SUM($C$11:AL11)/$B$11,0)</f>
        <v>0</v>
      </c>
      <c r="AM42" s="32">
        <f>IF($B$11&gt;0,SUM($C$11:AM11)/$B$11,0)</f>
        <v>0</v>
      </c>
      <c r="AN42" s="32">
        <f>IF($B$11&gt;0,SUM($C$11:AN11)/$B$11,0)</f>
        <v>0</v>
      </c>
      <c r="AO42" s="32">
        <f>IF($B$11&gt;0,SUM($C$11:AO11)/$B$11,0)</f>
        <v>0</v>
      </c>
      <c r="AP42" s="32">
        <f>IF($B$11&gt;0,SUM($C$11:AP11)/$B$11,0)</f>
        <v>0</v>
      </c>
      <c r="AQ42" s="32">
        <f>IF($B$11&gt;0,SUM($C$11:AQ11)/$B$11,0)</f>
        <v>0</v>
      </c>
      <c r="AR42" s="32">
        <f>IF($B$11&gt;0,SUM($C$11:AR11)/$B$11,0)</f>
        <v>0</v>
      </c>
      <c r="AS42" s="32">
        <f>IF($B$11&gt;0,SUM($C$11:AS11)/$B$11,0)</f>
        <v>0</v>
      </c>
      <c r="AT42" s="32">
        <f>IF($B$11&gt;0,SUM($C$11:AT11)/$B$11,0)</f>
        <v>0</v>
      </c>
      <c r="AU42" s="32">
        <f>IF($B$11&gt;0,SUM($C$11:AU11)/$B$11,0)</f>
        <v>0</v>
      </c>
      <c r="AV42" s="32">
        <f>IF($B$11&gt;0,SUM($C$11:AV11)/$B$11,0)</f>
        <v>0</v>
      </c>
      <c r="AW42" s="32">
        <f>IF($B$11&gt;0,SUM($C$11:AW11)/$B$11,0)</f>
        <v>0</v>
      </c>
      <c r="AX42" s="32">
        <f>IF($B$11&gt;0,SUM($C$11:AX11)/$B$11,0)</f>
        <v>0</v>
      </c>
      <c r="AY42" s="32">
        <f>IF($B$11&gt;0,SUM($C$11:AY11)/$B$11,0)</f>
        <v>0</v>
      </c>
      <c r="AZ42" s="32">
        <f>IF($B$11&gt;0,SUM($C$11:AZ11)/$B$11,0)</f>
        <v>0</v>
      </c>
      <c r="BA42" s="32">
        <f>IF($B$11&gt;0,SUM($C$11:BA11)/$B$11,0)</f>
        <v>0</v>
      </c>
      <c r="BB42" s="32">
        <f>IF($B$11&gt;0,SUM($C$11:BB11)/$B$11,0)</f>
        <v>0</v>
      </c>
      <c r="BC42" s="32">
        <f>IF($B$11&gt;0,SUM($C$11:BC11)/$B$11,0)</f>
        <v>0</v>
      </c>
      <c r="BD42" s="32">
        <f>IF($B$11&gt;0,SUM($C$11:BD11)/$B$11,0)</f>
        <v>0</v>
      </c>
      <c r="BE42" s="32">
        <f>IF($B$11&gt;0,SUM($C$11:BE11)/$B$11,0)</f>
        <v>0</v>
      </c>
      <c r="BF42" s="32">
        <f>IF($B$11&gt;0,SUM($C$11:BF11)/$B$11,0)</f>
        <v>0</v>
      </c>
      <c r="BG42" s="32">
        <f>IF($B$11&gt;0,SUM($C$11:BG11)/$B$11,0)</f>
        <v>0</v>
      </c>
      <c r="BH42" s="32">
        <f>IF($B$11&gt;0,SUM($C$11:BH11)/$B$11,0)</f>
        <v>0</v>
      </c>
      <c r="BI42" s="32">
        <f>IF($B$11&gt;0,SUM($C$11:BI11)/$B$11,0)</f>
        <v>0</v>
      </c>
      <c r="BJ42" s="32">
        <f>IF($B$11&gt;0,SUM($C$11:BJ11)/$B$11,0)</f>
        <v>0</v>
      </c>
    </row>
    <row r="43" spans="1:63" hidden="1" x14ac:dyDescent="0.3">
      <c r="A43" s="135" t="str">
        <f t="shared" si="2"/>
        <v>Depreciación del activo Laptop Desarrollador 3</v>
      </c>
      <c r="B43" s="136"/>
      <c r="C43" s="32">
        <f>IF($B$12&gt;0,SUM($C$12:C12)/$B$12,0)</f>
        <v>0</v>
      </c>
      <c r="D43" s="32">
        <f>IF($B$12&gt;0,SUM($C$12:D12)/$B$12,0)</f>
        <v>0</v>
      </c>
      <c r="E43" s="32">
        <f>IF($B$12&gt;0,SUM($C$12:E12)/$B$12,0)</f>
        <v>0</v>
      </c>
      <c r="F43" s="32">
        <f>IF($B$12&gt;0,SUM($C$12:F12)/$B$12,0)</f>
        <v>0</v>
      </c>
      <c r="G43" s="32">
        <f>IF($B$12&gt;0,SUM($C$12:G12)/$B$12,0)</f>
        <v>0</v>
      </c>
      <c r="H43" s="32">
        <f>IF($B$12&gt;0,SUM($C$12:H12)/$B$12,0)</f>
        <v>0</v>
      </c>
      <c r="I43" s="32">
        <f>IF($B$12&gt;0,SUM($C$12:I12)/$B$12,0)</f>
        <v>0</v>
      </c>
      <c r="J43" s="32">
        <f>IF($B$12&gt;0,SUM($C$12:J12)/$B$12,0)</f>
        <v>0</v>
      </c>
      <c r="K43" s="32">
        <f>IF($B$12&gt;0,SUM($C$12:K12)/$B$12,0)</f>
        <v>0</v>
      </c>
      <c r="L43" s="32">
        <f>IF($B$12&gt;0,SUM($C$12:L12)/$B$12,0)</f>
        <v>0</v>
      </c>
      <c r="M43" s="32">
        <f>IF($B$12&gt;0,SUM($C$12:M12)/$B$12,0)</f>
        <v>0</v>
      </c>
      <c r="N43" s="32">
        <f>IF($B$12&gt;0,SUM($C$12:N12)/$B$12,0)</f>
        <v>0</v>
      </c>
      <c r="O43" s="32">
        <f>IF($B$12&gt;0,SUM($C$12:O12)/$B$12,0)</f>
        <v>0</v>
      </c>
      <c r="P43" s="32">
        <f>IF($B$12&gt;0,SUM($C$12:P12)/$B$12,0)</f>
        <v>0</v>
      </c>
      <c r="Q43" s="32">
        <f>IF($B$12&gt;0,SUM($C$12:Q12)/$B$12,0)</f>
        <v>0</v>
      </c>
      <c r="R43" s="32">
        <f>IF($B$12&gt;0,SUM($C$12:R12)/$B$12,0)</f>
        <v>0</v>
      </c>
      <c r="S43" s="32">
        <f>IF($B$12&gt;0,SUM($C$12:S12)/$B$12,0)</f>
        <v>0</v>
      </c>
      <c r="T43" s="32">
        <f>IF($B$12&gt;0,SUM($C$12:T12)/$B$12,0)</f>
        <v>0</v>
      </c>
      <c r="U43" s="32">
        <f>IF($B$12&gt;0,SUM($C$12:U12)/$B$12,0)</f>
        <v>0</v>
      </c>
      <c r="V43" s="32">
        <f>IF($B$12&gt;0,SUM($C$12:V12)/$B$12,0)</f>
        <v>0</v>
      </c>
      <c r="W43" s="32">
        <f>IF($B$12&gt;0,SUM($C$12:W12)/$B$12,0)</f>
        <v>0</v>
      </c>
      <c r="X43" s="32">
        <f>IF($B$12&gt;0,SUM($C$12:X12)/$B$12,0)</f>
        <v>0</v>
      </c>
      <c r="Y43" s="32">
        <f>IF($B$12&gt;0,SUM($C$12:Y12)/$B$12,0)</f>
        <v>0</v>
      </c>
      <c r="Z43" s="32">
        <f>IF($B$12&gt;0,SUM($C$12:Z12)/$B$12,0)</f>
        <v>0</v>
      </c>
      <c r="AA43" s="32">
        <f>IF($B$12&gt;0,SUM($C$12:AA12)/$B$12,0)</f>
        <v>0</v>
      </c>
      <c r="AB43" s="32">
        <f>IF($B$12&gt;0,SUM($C$12:AB12)/$B$12,0)</f>
        <v>0</v>
      </c>
      <c r="AC43" s="32">
        <f>IF($B$12&gt;0,SUM($C$12:AC12)/$B$12,0)</f>
        <v>0</v>
      </c>
      <c r="AD43" s="32">
        <f>IF($B$12&gt;0,SUM($C$12:AD12)/$B$12,0)</f>
        <v>0</v>
      </c>
      <c r="AE43" s="32">
        <f>IF($B$12&gt;0,SUM($C$12:AE12)/$B$12,0)</f>
        <v>0</v>
      </c>
      <c r="AF43" s="32">
        <f>IF($B$12&gt;0,SUM($C$12:AF12)/$B$12,0)</f>
        <v>0</v>
      </c>
      <c r="AG43" s="32">
        <f>IF($B$12&gt;0,SUM($C$12:AG12)/$B$12,0)</f>
        <v>0</v>
      </c>
      <c r="AH43" s="32">
        <f>IF($B$12&gt;0,SUM($C$12:AH12)/$B$12,0)</f>
        <v>0</v>
      </c>
      <c r="AI43" s="32">
        <f>IF($B$12&gt;0,SUM($C$12:AI12)/$B$12,0)</f>
        <v>0</v>
      </c>
      <c r="AJ43" s="32">
        <f>IF($B$12&gt;0,SUM($C$12:AJ12)/$B$12,0)</f>
        <v>0</v>
      </c>
      <c r="AK43" s="32">
        <f>IF($B$12&gt;0,SUM($C$12:AK12)/$B$12,0)</f>
        <v>0</v>
      </c>
      <c r="AL43" s="32">
        <f>IF($B$12&gt;0,SUM($C$12:AL12)/$B$12,0)</f>
        <v>0</v>
      </c>
      <c r="AM43" s="32">
        <f>IF($B$12&gt;0,SUM($C$12:AM12)/$B$12,0)</f>
        <v>0</v>
      </c>
      <c r="AN43" s="32">
        <f>IF($B$12&gt;0,SUM($C$12:AN12)/$B$12,0)</f>
        <v>0</v>
      </c>
      <c r="AO43" s="32">
        <f>IF($B$12&gt;0,SUM($C$12:AO12)/$B$12,0)</f>
        <v>0</v>
      </c>
      <c r="AP43" s="32">
        <f>IF($B$12&gt;0,SUM($C$12:AP12)/$B$12,0)</f>
        <v>0</v>
      </c>
      <c r="AQ43" s="32">
        <f>IF($B$12&gt;0,SUM($C$12:AQ12)/$B$12,0)</f>
        <v>0</v>
      </c>
      <c r="AR43" s="32">
        <f>IF($B$12&gt;0,SUM($C$12:AR12)/$B$12,0)</f>
        <v>0</v>
      </c>
      <c r="AS43" s="32">
        <f>IF($B$12&gt;0,SUM($C$12:AS12)/$B$12,0)</f>
        <v>0</v>
      </c>
      <c r="AT43" s="32">
        <f>IF($B$12&gt;0,SUM($C$12:AT12)/$B$12,0)</f>
        <v>0</v>
      </c>
      <c r="AU43" s="32">
        <f>IF($B$12&gt;0,SUM($C$12:AU12)/$B$12,0)</f>
        <v>0</v>
      </c>
      <c r="AV43" s="32">
        <f>IF($B$12&gt;0,SUM($C$12:AV12)/$B$12,0)</f>
        <v>0</v>
      </c>
      <c r="AW43" s="32">
        <f>IF($B$12&gt;0,SUM($C$12:AW12)/$B$12,0)</f>
        <v>0</v>
      </c>
      <c r="AX43" s="32">
        <f>IF($B$12&gt;0,SUM($C$12:AX12)/$B$12,0)</f>
        <v>0</v>
      </c>
      <c r="AY43" s="32">
        <f>IF($B$12&gt;0,SUM($C$12:AY12)/$B$12,0)</f>
        <v>0</v>
      </c>
      <c r="AZ43" s="32">
        <f>IF($B$12&gt;0,SUM($C$12:AZ12)/$B$12,0)</f>
        <v>0</v>
      </c>
      <c r="BA43" s="32">
        <f>IF($B$12&gt;0,SUM($C$12:BA12)/$B$12,0)</f>
        <v>0</v>
      </c>
      <c r="BB43" s="32">
        <f>IF($B$12&gt;0,SUM($C$12:BB12)/$B$12,0)</f>
        <v>0</v>
      </c>
      <c r="BC43" s="32">
        <f>IF($B$12&gt;0,SUM($C$12:BC12)/$B$12,0)</f>
        <v>0</v>
      </c>
      <c r="BD43" s="32">
        <f>IF($B$12&gt;0,SUM($C$12:BD12)/$B$12,0)</f>
        <v>0</v>
      </c>
      <c r="BE43" s="32">
        <f>IF($B$12&gt;0,SUM($C$12:BE12)/$B$12,0)</f>
        <v>0</v>
      </c>
      <c r="BF43" s="32">
        <f>IF($B$12&gt;0,SUM($C$12:BF12)/$B$12,0)</f>
        <v>0</v>
      </c>
      <c r="BG43" s="32">
        <f>IF($B$12&gt;0,SUM($C$12:BG12)/$B$12,0)</f>
        <v>0</v>
      </c>
      <c r="BH43" s="32">
        <f>IF($B$12&gt;0,SUM($C$12:BH12)/$B$12,0)</f>
        <v>0</v>
      </c>
      <c r="BI43" s="32">
        <f>IF($B$12&gt;0,SUM($C$12:BI12)/$B$12,0)</f>
        <v>0</v>
      </c>
      <c r="BJ43" s="32">
        <f>IF($B$12&gt;0,SUM($C$12:BJ12)/$B$12,0)</f>
        <v>0</v>
      </c>
    </row>
    <row r="44" spans="1:63" hidden="1" x14ac:dyDescent="0.3">
      <c r="A44" s="135" t="str">
        <f t="shared" si="2"/>
        <v>Depreciación del activo Monitor Externo (x2)</v>
      </c>
      <c r="B44" s="136"/>
      <c r="C44" s="32">
        <f>IF($B$13&gt;0,SUM($C$13:C13)/$B$13,0)</f>
        <v>0</v>
      </c>
      <c r="D44" s="32">
        <f>IF($B$13&gt;0,SUM($C$13:D13)/$B$13,0)</f>
        <v>0</v>
      </c>
      <c r="E44" s="32">
        <f>IF($B$13&gt;0,SUM($C$13:E13)/$B$13,0)</f>
        <v>0</v>
      </c>
      <c r="F44" s="32">
        <f>IF($B$13&gt;0,SUM($C$13:F13)/$B$13,0)</f>
        <v>0</v>
      </c>
      <c r="G44" s="32">
        <f>IF($B$13&gt;0,SUM($C$13:G13)/$B$13,0)</f>
        <v>0</v>
      </c>
      <c r="H44" s="32">
        <f>IF($B$13&gt;0,SUM($C$13:H13)/$B$13,0)</f>
        <v>0</v>
      </c>
      <c r="I44" s="32">
        <f>IF($B$13&gt;0,SUM($C$13:I13)/$B$13,0)</f>
        <v>0</v>
      </c>
      <c r="J44" s="32">
        <f>IF($B$13&gt;0,SUM($C$13:J13)/$B$13,0)</f>
        <v>0</v>
      </c>
      <c r="K44" s="32">
        <f>IF($B$13&gt;0,SUM($C$13:K13)/$B$13,0)</f>
        <v>0</v>
      </c>
      <c r="L44" s="32">
        <f>IF($B$13&gt;0,SUM($C$13:L13)/$B$13,0)</f>
        <v>0</v>
      </c>
      <c r="M44" s="32">
        <f>IF($B$13&gt;0,SUM($C$13:M13)/$B$13,0)</f>
        <v>0</v>
      </c>
      <c r="N44" s="32">
        <f>IF($B$13&gt;0,SUM($C$13:N13)/$B$13,0)</f>
        <v>0</v>
      </c>
      <c r="O44" s="32">
        <f>IF($B$13&gt;0,SUM($C$13:O13)/$B$13,0)</f>
        <v>0</v>
      </c>
      <c r="P44" s="32">
        <f>IF($B$13&gt;0,SUM($C$13:P13)/$B$13,0)</f>
        <v>0</v>
      </c>
      <c r="Q44" s="32">
        <f>IF($B$13&gt;0,SUM($C$13:Q13)/$B$13,0)</f>
        <v>0</v>
      </c>
      <c r="R44" s="32">
        <f>IF($B$13&gt;0,SUM($C$13:R13)/$B$13,0)</f>
        <v>0</v>
      </c>
      <c r="S44" s="32">
        <f>IF($B$13&gt;0,SUM($C$13:S13)/$B$13,0)</f>
        <v>0</v>
      </c>
      <c r="T44" s="32">
        <f>IF($B$13&gt;0,SUM($C$13:T13)/$B$13,0)</f>
        <v>0</v>
      </c>
      <c r="U44" s="32">
        <f>IF($B$13&gt;0,SUM($C$13:U13)/$B$13,0)</f>
        <v>0</v>
      </c>
      <c r="V44" s="32">
        <f>IF($B$13&gt;0,SUM($C$13:V13)/$B$13,0)</f>
        <v>0</v>
      </c>
      <c r="W44" s="32">
        <f>IF($B$13&gt;0,SUM($C$13:W13)/$B$13,0)</f>
        <v>0</v>
      </c>
      <c r="X44" s="32">
        <f>IF($B$13&gt;0,SUM($C$13:X13)/$B$13,0)</f>
        <v>0</v>
      </c>
      <c r="Y44" s="32">
        <f>IF($B$13&gt;0,SUM($C$13:Y13)/$B$13,0)</f>
        <v>0</v>
      </c>
      <c r="Z44" s="32">
        <f>IF($B$13&gt;0,SUM($C$13:Z13)/$B$13,0)</f>
        <v>0</v>
      </c>
      <c r="AA44" s="32">
        <f>IF($B$13&gt;0,SUM($C$13:AA13)/$B$13,0)</f>
        <v>0</v>
      </c>
      <c r="AB44" s="32">
        <f>IF($B$13&gt;0,SUM($C$13:AB13)/$B$13,0)</f>
        <v>0</v>
      </c>
      <c r="AC44" s="32">
        <f>IF($B$13&gt;0,SUM($C$13:AC13)/$B$13,0)</f>
        <v>0</v>
      </c>
      <c r="AD44" s="32">
        <f>IF($B$13&gt;0,SUM($C$13:AD13)/$B$13,0)</f>
        <v>0</v>
      </c>
      <c r="AE44" s="32">
        <f>IF($B$13&gt;0,SUM($C$13:AE13)/$B$13,0)</f>
        <v>0</v>
      </c>
      <c r="AF44" s="32">
        <f>IF($B$13&gt;0,SUM($C$13:AF13)/$B$13,0)</f>
        <v>0</v>
      </c>
      <c r="AG44" s="32">
        <f>IF($B$13&gt;0,SUM($C$13:AG13)/$B$13,0)</f>
        <v>0</v>
      </c>
      <c r="AH44" s="32">
        <f>IF($B$13&gt;0,SUM($C$13:AH13)/$B$13,0)</f>
        <v>0</v>
      </c>
      <c r="AI44" s="32">
        <f>IF($B$13&gt;0,SUM($C$13:AI13)/$B$13,0)</f>
        <v>0</v>
      </c>
      <c r="AJ44" s="32">
        <f>IF($B$13&gt;0,SUM($C$13:AJ13)/$B$13,0)</f>
        <v>0</v>
      </c>
      <c r="AK44" s="32">
        <f>IF($B$13&gt;0,SUM($C$13:AK13)/$B$13,0)</f>
        <v>0</v>
      </c>
      <c r="AL44" s="32">
        <f>IF($B$13&gt;0,SUM($C$13:AL13)/$B$13,0)</f>
        <v>0</v>
      </c>
      <c r="AM44" s="32">
        <f>IF($B$13&gt;0,SUM($C$13:AM13)/$B$13,0)</f>
        <v>0</v>
      </c>
      <c r="AN44" s="32">
        <f>IF($B$13&gt;0,SUM($C$13:AN13)/$B$13,0)</f>
        <v>0</v>
      </c>
      <c r="AO44" s="32">
        <f>IF($B$13&gt;0,SUM($C$13:AO13)/$B$13,0)</f>
        <v>0</v>
      </c>
      <c r="AP44" s="32">
        <f>IF($B$13&gt;0,SUM($C$13:AP13)/$B$13,0)</f>
        <v>0</v>
      </c>
      <c r="AQ44" s="32">
        <f>IF($B$13&gt;0,SUM($C$13:AQ13)/$B$13,0)</f>
        <v>0</v>
      </c>
      <c r="AR44" s="32">
        <f>IF($B$13&gt;0,SUM($C$13:AR13)/$B$13,0)</f>
        <v>0</v>
      </c>
      <c r="AS44" s="32">
        <f>IF($B$13&gt;0,SUM($C$13:AS13)/$B$13,0)</f>
        <v>0</v>
      </c>
      <c r="AT44" s="32">
        <f>IF($B$13&gt;0,SUM($C$13:AT13)/$B$13,0)</f>
        <v>0</v>
      </c>
      <c r="AU44" s="32">
        <f>IF($B$13&gt;0,SUM($C$13:AU13)/$B$13,0)</f>
        <v>0</v>
      </c>
      <c r="AV44" s="32">
        <f>IF($B$13&gt;0,SUM($C$13:AV13)/$B$13,0)</f>
        <v>0</v>
      </c>
      <c r="AW44" s="32">
        <f>IF($B$13&gt;0,SUM($C$13:AW13)/$B$13,0)</f>
        <v>0</v>
      </c>
      <c r="AX44" s="32">
        <f>IF($B$13&gt;0,SUM($C$13:AX13)/$B$13,0)</f>
        <v>0</v>
      </c>
      <c r="AY44" s="32">
        <f>IF($B$13&gt;0,SUM($C$13:AY13)/$B$13,0)</f>
        <v>0</v>
      </c>
      <c r="AZ44" s="32">
        <f>IF($B$13&gt;0,SUM($C$13:AZ13)/$B$13,0)</f>
        <v>0</v>
      </c>
      <c r="BA44" s="32">
        <f>IF($B$13&gt;0,SUM($C$13:BA13)/$B$13,0)</f>
        <v>0</v>
      </c>
      <c r="BB44" s="32">
        <f>IF($B$13&gt;0,SUM($C$13:BB13)/$B$13,0)</f>
        <v>0</v>
      </c>
      <c r="BC44" s="32">
        <f>IF($B$13&gt;0,SUM($C$13:BC13)/$B$13,0)</f>
        <v>0</v>
      </c>
      <c r="BD44" s="32">
        <f>IF($B$13&gt;0,SUM($C$13:BD13)/$B$13,0)</f>
        <v>0</v>
      </c>
      <c r="BE44" s="32">
        <f>IF($B$13&gt;0,SUM($C$13:BE13)/$B$13,0)</f>
        <v>0</v>
      </c>
      <c r="BF44" s="32">
        <f>IF($B$13&gt;0,SUM($C$13:BF13)/$B$13,0)</f>
        <v>0</v>
      </c>
      <c r="BG44" s="32">
        <f>IF($B$13&gt;0,SUM($C$13:BG13)/$B$13,0)</f>
        <v>0</v>
      </c>
      <c r="BH44" s="32">
        <f>IF($B$13&gt;0,SUM($C$13:BH13)/$B$13,0)</f>
        <v>0</v>
      </c>
      <c r="BI44" s="32">
        <f>IF($B$13&gt;0,SUM($C$13:BI13)/$B$13,0)</f>
        <v>0</v>
      </c>
      <c r="BJ44" s="32">
        <f>IF($B$13&gt;0,SUM($C$13:BJ13)/$B$13,0)</f>
        <v>0</v>
      </c>
    </row>
    <row r="45" spans="1:63" hidden="1" x14ac:dyDescent="0.3">
      <c r="A45" s="135" t="str">
        <f t="shared" si="2"/>
        <v>Depreciación del activo Laptop Desarrollador 4</v>
      </c>
      <c r="B45" s="136"/>
      <c r="C45" s="32">
        <f>IF($B$14&gt;0,SUM($C$14:C14)/$B$14,0)</f>
        <v>0</v>
      </c>
      <c r="D45" s="32">
        <f>IF($B$14&gt;0,SUM($C$14:D14)/$B$14,0)</f>
        <v>0</v>
      </c>
      <c r="E45" s="32">
        <f>IF($B$14&gt;0,SUM($C$14:E14)/$B$14,0)</f>
        <v>0</v>
      </c>
      <c r="F45" s="32">
        <f>IF($B$14&gt;0,SUM($C$14:F14)/$B$14,0)</f>
        <v>0</v>
      </c>
      <c r="G45" s="32">
        <f>IF($B$14&gt;0,SUM($C$14:G14)/$B$14,0)</f>
        <v>0</v>
      </c>
      <c r="H45" s="32">
        <f>IF($B$14&gt;0,SUM($C$14:H14)/$B$14,0)</f>
        <v>0</v>
      </c>
      <c r="I45" s="32">
        <f>IF($B$14&gt;0,SUM($C$14:I14)/$B$14,0)</f>
        <v>0</v>
      </c>
      <c r="J45" s="32">
        <f>IF($B$14&gt;0,SUM($C$14:J14)/$B$14,0)</f>
        <v>0</v>
      </c>
      <c r="K45" s="32">
        <f>IF($B$14&gt;0,SUM($C$14:K14)/$B$14,0)</f>
        <v>0</v>
      </c>
      <c r="L45" s="32">
        <f>IF($B$14&gt;0,SUM($C$14:L14)/$B$14,0)</f>
        <v>0</v>
      </c>
      <c r="M45" s="32">
        <f>IF($B$14&gt;0,SUM($C$14:M14)/$B$14,0)</f>
        <v>0</v>
      </c>
      <c r="N45" s="32">
        <f>IF($B$14&gt;0,SUM($C$14:N14)/$B$14,0)</f>
        <v>0</v>
      </c>
      <c r="O45" s="32">
        <f>IF($B$14&gt;0,SUM($C$14:O14)/$B$14,0)</f>
        <v>0</v>
      </c>
      <c r="P45" s="32">
        <f>IF($B$14&gt;0,SUM($C$14:P14)/$B$14,0)</f>
        <v>0</v>
      </c>
      <c r="Q45" s="32">
        <f>IF($B$14&gt;0,SUM($C$14:Q14)/$B$14,0)</f>
        <v>0</v>
      </c>
      <c r="R45" s="32">
        <f>IF($B$14&gt;0,SUM($C$14:R14)/$B$14,0)</f>
        <v>0</v>
      </c>
      <c r="S45" s="32">
        <f>IF($B$14&gt;0,SUM($C$14:S14)/$B$14,0)</f>
        <v>0</v>
      </c>
      <c r="T45" s="32">
        <f>IF($B$14&gt;0,SUM($C$14:T14)/$B$14,0)</f>
        <v>0</v>
      </c>
      <c r="U45" s="32">
        <f>IF($B$14&gt;0,SUM($C$14:U14)/$B$14,0)</f>
        <v>0</v>
      </c>
      <c r="V45" s="32">
        <f>IF($B$14&gt;0,SUM($C$14:V14)/$B$14,0)</f>
        <v>0</v>
      </c>
      <c r="W45" s="32">
        <f>IF($B$14&gt;0,SUM($C$14:W14)/$B$14,0)</f>
        <v>0</v>
      </c>
      <c r="X45" s="32">
        <f>IF($B$14&gt;0,SUM($C$14:X14)/$B$14,0)</f>
        <v>0</v>
      </c>
      <c r="Y45" s="32">
        <f>IF($B$14&gt;0,SUM($C$14:Y14)/$B$14,0)</f>
        <v>0</v>
      </c>
      <c r="Z45" s="32">
        <f>IF($B$14&gt;0,SUM($C$14:Z14)/$B$14,0)</f>
        <v>0</v>
      </c>
      <c r="AA45" s="32">
        <f>IF($B$14&gt;0,SUM($C$14:AA14)/$B$14,0)</f>
        <v>0</v>
      </c>
      <c r="AB45" s="32">
        <f>IF($B$14&gt;0,SUM($C$14:AB14)/$B$14,0)</f>
        <v>0</v>
      </c>
      <c r="AC45" s="32">
        <f>IF($B$14&gt;0,SUM($C$14:AC14)/$B$14,0)</f>
        <v>0</v>
      </c>
      <c r="AD45" s="32">
        <f>IF($B$14&gt;0,SUM($C$14:AD14)/$B$14,0)</f>
        <v>0</v>
      </c>
      <c r="AE45" s="32">
        <f>IF($B$14&gt;0,SUM($C$14:AE14)/$B$14,0)</f>
        <v>0</v>
      </c>
      <c r="AF45" s="32">
        <f>IF($B$14&gt;0,SUM($C$14:AF14)/$B$14,0)</f>
        <v>0</v>
      </c>
      <c r="AG45" s="32">
        <f>IF($B$14&gt;0,SUM($C$14:AG14)/$B$14,0)</f>
        <v>0</v>
      </c>
      <c r="AH45" s="32">
        <f>IF($B$14&gt;0,SUM($C$14:AH14)/$B$14,0)</f>
        <v>0</v>
      </c>
      <c r="AI45" s="32">
        <f>IF($B$14&gt;0,SUM($C$14:AI14)/$B$14,0)</f>
        <v>0</v>
      </c>
      <c r="AJ45" s="32">
        <f>IF($B$14&gt;0,SUM($C$14:AJ14)/$B$14,0)</f>
        <v>0</v>
      </c>
      <c r="AK45" s="32">
        <f>IF($B$14&gt;0,SUM($C$14:AK14)/$B$14,0)</f>
        <v>0</v>
      </c>
      <c r="AL45" s="32">
        <f>IF($B$14&gt;0,SUM($C$14:AL14)/$B$14,0)</f>
        <v>0</v>
      </c>
      <c r="AM45" s="32">
        <f>IF($B$14&gt;0,SUM($C$14:AM14)/$B$14,0)</f>
        <v>0</v>
      </c>
      <c r="AN45" s="32">
        <f>IF($B$14&gt;0,SUM($C$14:AN14)/$B$14,0)</f>
        <v>0</v>
      </c>
      <c r="AO45" s="32">
        <f>IF($B$14&gt;0,SUM($C$14:AO14)/$B$14,0)</f>
        <v>0</v>
      </c>
      <c r="AP45" s="32">
        <f>IF($B$14&gt;0,SUM($C$14:AP14)/$B$14,0)</f>
        <v>0</v>
      </c>
      <c r="AQ45" s="32">
        <f>IF($B$14&gt;0,SUM($C$14:AQ14)/$B$14,0)</f>
        <v>0</v>
      </c>
      <c r="AR45" s="32">
        <f>IF($B$14&gt;0,SUM($C$14:AR14)/$B$14,0)</f>
        <v>0</v>
      </c>
      <c r="AS45" s="32">
        <f>IF($B$14&gt;0,SUM($C$14:AS14)/$B$14,0)</f>
        <v>0</v>
      </c>
      <c r="AT45" s="32">
        <f>IF($B$14&gt;0,SUM($C$14:AT14)/$B$14,0)</f>
        <v>0</v>
      </c>
      <c r="AU45" s="32">
        <f>IF($B$14&gt;0,SUM($C$14:AU14)/$B$14,0)</f>
        <v>0</v>
      </c>
      <c r="AV45" s="32">
        <f>IF($B$14&gt;0,SUM($C$14:AV14)/$B$14,0)</f>
        <v>0</v>
      </c>
      <c r="AW45" s="32">
        <f>IF($B$14&gt;0,SUM($C$14:AW14)/$B$14,0)</f>
        <v>0</v>
      </c>
      <c r="AX45" s="32">
        <f>IF($B$14&gt;0,SUM($C$14:AX14)/$B$14,0)</f>
        <v>0</v>
      </c>
      <c r="AY45" s="32">
        <f>IF($B$14&gt;0,SUM($C$14:AY14)/$B$14,0)</f>
        <v>0</v>
      </c>
      <c r="AZ45" s="32">
        <f>IF($B$14&gt;0,SUM($C$14:AZ14)/$B$14,0)</f>
        <v>0</v>
      </c>
      <c r="BA45" s="32">
        <f>IF($B$14&gt;0,SUM($C$14:BA14)/$B$14,0)</f>
        <v>0</v>
      </c>
      <c r="BB45" s="32">
        <f>IF($B$14&gt;0,SUM($C$14:BB14)/$B$14,0)</f>
        <v>0</v>
      </c>
      <c r="BC45" s="32">
        <f>IF($B$14&gt;0,SUM($C$14:BC14)/$B$14,0)</f>
        <v>0</v>
      </c>
      <c r="BD45" s="32">
        <f>IF($B$14&gt;0,SUM($C$14:BD14)/$B$14,0)</f>
        <v>0</v>
      </c>
      <c r="BE45" s="32">
        <f>IF($B$14&gt;0,SUM($C$14:BE14)/$B$14,0)</f>
        <v>0</v>
      </c>
      <c r="BF45" s="32">
        <f>IF($B$14&gt;0,SUM($C$14:BF14)/$B$14,0)</f>
        <v>0</v>
      </c>
      <c r="BG45" s="32">
        <f>IF($B$14&gt;0,SUM($C$14:BG14)/$B$14,0)</f>
        <v>0</v>
      </c>
      <c r="BH45" s="32">
        <f>IF($B$14&gt;0,SUM($C$14:BH14)/$B$14,0)</f>
        <v>0</v>
      </c>
      <c r="BI45" s="32">
        <f>IF($B$14&gt;0,SUM($C$14:BI14)/$B$14,0)</f>
        <v>0</v>
      </c>
      <c r="BJ45" s="32">
        <f>IF($B$14&gt;0,SUM($C$14:BJ14)/$B$14,0)</f>
        <v>0</v>
      </c>
    </row>
    <row r="46" spans="1:63" hidden="1" x14ac:dyDescent="0.3">
      <c r="A46" s="135" t="str">
        <f t="shared" si="2"/>
        <v xml:space="preserve">Depreciación del activo </v>
      </c>
      <c r="B46" s="136"/>
      <c r="C46" s="32">
        <f>IF($B$15&gt;0,SUM($C$15:C15)/$B$15,0)</f>
        <v>0</v>
      </c>
      <c r="D46" s="32">
        <f>IF($B$15&gt;0,SUM($C$15:D15)/$B$15,0)</f>
        <v>0</v>
      </c>
      <c r="E46" s="32">
        <f>IF($B$15&gt;0,SUM($C$15:E15)/$B$15,0)</f>
        <v>0</v>
      </c>
      <c r="F46" s="32">
        <f>IF($B$15&gt;0,SUM($C$15:F15)/$B$15,0)</f>
        <v>0</v>
      </c>
      <c r="G46" s="32">
        <f>IF($B$15&gt;0,SUM($C$15:G15)/$B$15,0)</f>
        <v>0</v>
      </c>
      <c r="H46" s="32">
        <f>IF($B$15&gt;0,SUM($C$15:H15)/$B$15,0)</f>
        <v>0</v>
      </c>
      <c r="I46" s="32">
        <f>IF($B$15&gt;0,SUM($C$15:I15)/$B$15,0)</f>
        <v>0</v>
      </c>
      <c r="J46" s="32">
        <f>IF($B$15&gt;0,SUM($C$15:J15)/$B$15,0)</f>
        <v>0</v>
      </c>
      <c r="K46" s="32">
        <f>IF($B$15&gt;0,SUM($C$15:K15)/$B$15,0)</f>
        <v>0</v>
      </c>
      <c r="L46" s="32">
        <f>IF($B$15&gt;0,SUM($C$15:L15)/$B$15,0)</f>
        <v>0</v>
      </c>
      <c r="M46" s="32">
        <f>IF($B$15&gt;0,SUM($C$15:M15)/$B$15,0)</f>
        <v>0</v>
      </c>
      <c r="N46" s="32">
        <f>IF($B$15&gt;0,SUM($C$15:N15)/$B$15,0)</f>
        <v>0</v>
      </c>
      <c r="O46" s="32">
        <f>IF($B$15&gt;0,SUM($C$15:O15)/$B$15,0)</f>
        <v>0</v>
      </c>
      <c r="P46" s="32">
        <f>IF($B$15&gt;0,SUM($C$15:P15)/$B$15,0)</f>
        <v>0</v>
      </c>
      <c r="Q46" s="32">
        <f>IF($B$15&gt;0,SUM($C$15:Q15)/$B$15,0)</f>
        <v>0</v>
      </c>
      <c r="R46" s="32">
        <f>IF($B$15&gt;0,SUM($C$15:R15)/$B$15,0)</f>
        <v>0</v>
      </c>
      <c r="S46" s="32">
        <f>IF($B$15&gt;0,SUM($C$15:S15)/$B$15,0)</f>
        <v>0</v>
      </c>
      <c r="T46" s="32">
        <f>IF($B$15&gt;0,SUM($C$15:T15)/$B$15,0)</f>
        <v>0</v>
      </c>
      <c r="U46" s="32">
        <f>IF($B$15&gt;0,SUM($C$15:U15)/$B$15,0)</f>
        <v>0</v>
      </c>
      <c r="V46" s="32">
        <f>IF($B$15&gt;0,SUM($C$15:V15)/$B$15,0)</f>
        <v>0</v>
      </c>
      <c r="W46" s="32">
        <f>IF($B$15&gt;0,SUM($C$15:W15)/$B$15,0)</f>
        <v>0</v>
      </c>
      <c r="X46" s="32">
        <f>IF($B$15&gt;0,SUM($C$15:X15)/$B$15,0)</f>
        <v>0</v>
      </c>
      <c r="Y46" s="32">
        <f>IF($B$15&gt;0,SUM($C$15:Y15)/$B$15,0)</f>
        <v>0</v>
      </c>
      <c r="Z46" s="32">
        <f>IF($B$15&gt;0,SUM($C$15:Z15)/$B$15,0)</f>
        <v>0</v>
      </c>
      <c r="AA46" s="32">
        <f>IF($B$15&gt;0,SUM($C$15:AA15)/$B$15,0)</f>
        <v>0</v>
      </c>
      <c r="AB46" s="32">
        <f>IF($B$15&gt;0,SUM($C$15:AB15)/$B$15,0)</f>
        <v>0</v>
      </c>
      <c r="AC46" s="32">
        <f>IF($B$15&gt;0,SUM($C$15:AC15)/$B$15,0)</f>
        <v>0</v>
      </c>
      <c r="AD46" s="32">
        <f>IF($B$15&gt;0,SUM($C$15:AD15)/$B$15,0)</f>
        <v>0</v>
      </c>
      <c r="AE46" s="32">
        <f>IF($B$15&gt;0,SUM($C$15:AE15)/$B$15,0)</f>
        <v>0</v>
      </c>
      <c r="AF46" s="32">
        <f>IF($B$15&gt;0,SUM($C$15:AF15)/$B$15,0)</f>
        <v>0</v>
      </c>
      <c r="AG46" s="32">
        <f>IF($B$15&gt;0,SUM($C$15:AG15)/$B$15,0)</f>
        <v>0</v>
      </c>
      <c r="AH46" s="32">
        <f>IF($B$15&gt;0,SUM($C$15:AH15)/$B$15,0)</f>
        <v>0</v>
      </c>
      <c r="AI46" s="32">
        <f>IF($B$15&gt;0,SUM($C$15:AI15)/$B$15,0)</f>
        <v>0</v>
      </c>
      <c r="AJ46" s="32">
        <f>IF($B$15&gt;0,SUM($C$15:AJ15)/$B$15,0)</f>
        <v>0</v>
      </c>
      <c r="AK46" s="32">
        <f>IF($B$15&gt;0,SUM($C$15:AK15)/$B$15,0)</f>
        <v>0</v>
      </c>
      <c r="AL46" s="32">
        <f>IF($B$15&gt;0,SUM($C$15:AL15)/$B$15,0)</f>
        <v>0</v>
      </c>
      <c r="AM46" s="32">
        <f>IF($B$15&gt;0,SUM($C$15:AM15)/$B$15,0)</f>
        <v>0</v>
      </c>
      <c r="AN46" s="32">
        <f>IF($B$15&gt;0,SUM($C$15:AN15)/$B$15,0)</f>
        <v>0</v>
      </c>
      <c r="AO46" s="32">
        <f>IF($B$15&gt;0,SUM($C$15:AO15)/$B$15,0)</f>
        <v>0</v>
      </c>
      <c r="AP46" s="32">
        <f>IF($B$15&gt;0,SUM($C$15:AP15)/$B$15,0)</f>
        <v>0</v>
      </c>
      <c r="AQ46" s="32">
        <f>IF($B$15&gt;0,SUM($C$15:AQ15)/$B$15,0)</f>
        <v>0</v>
      </c>
      <c r="AR46" s="32">
        <f>IF($B$15&gt;0,SUM($C$15:AR15)/$B$15,0)</f>
        <v>0</v>
      </c>
      <c r="AS46" s="32">
        <f>IF($B$15&gt;0,SUM($C$15:AS15)/$B$15,0)</f>
        <v>0</v>
      </c>
      <c r="AT46" s="32">
        <f>IF($B$15&gt;0,SUM($C$15:AT15)/$B$15,0)</f>
        <v>0</v>
      </c>
      <c r="AU46" s="32">
        <f>IF($B$15&gt;0,SUM($C$15:AU15)/$B$15,0)</f>
        <v>0</v>
      </c>
      <c r="AV46" s="32">
        <f>IF($B$15&gt;0,SUM($C$15:AV15)/$B$15,0)</f>
        <v>0</v>
      </c>
      <c r="AW46" s="32">
        <f>IF($B$15&gt;0,SUM($C$15:AW15)/$B$15,0)</f>
        <v>0</v>
      </c>
      <c r="AX46" s="32">
        <f>IF($B$15&gt;0,SUM($C$15:AX15)/$B$15,0)</f>
        <v>0</v>
      </c>
      <c r="AY46" s="32">
        <f>IF($B$15&gt;0,SUM($C$15:AY15)/$B$15,0)</f>
        <v>0</v>
      </c>
      <c r="AZ46" s="32">
        <f>IF($B$15&gt;0,SUM($C$15:AZ15)/$B$15,0)</f>
        <v>0</v>
      </c>
      <c r="BA46" s="32">
        <f>IF($B$15&gt;0,SUM($C$15:BA15)/$B$15,0)</f>
        <v>0</v>
      </c>
      <c r="BB46" s="32">
        <f>IF($B$15&gt;0,SUM($C$15:BB15)/$B$15,0)</f>
        <v>0</v>
      </c>
      <c r="BC46" s="32">
        <f>IF($B$15&gt;0,SUM($C$15:BC15)/$B$15,0)</f>
        <v>0</v>
      </c>
      <c r="BD46" s="32">
        <f>IF($B$15&gt;0,SUM($C$15:BD15)/$B$15,0)</f>
        <v>0</v>
      </c>
      <c r="BE46" s="32">
        <f>IF($B$15&gt;0,SUM($C$15:BE15)/$B$15,0)</f>
        <v>0</v>
      </c>
      <c r="BF46" s="32">
        <f>IF($B$15&gt;0,SUM($C$15:BF15)/$B$15,0)</f>
        <v>0</v>
      </c>
      <c r="BG46" s="32">
        <f>IF($B$15&gt;0,SUM($C$15:BG15)/$B$15,0)</f>
        <v>0</v>
      </c>
      <c r="BH46" s="32">
        <f>IF($B$15&gt;0,SUM($C$15:BH15)/$B$15,0)</f>
        <v>0</v>
      </c>
      <c r="BI46" s="32">
        <f>IF($B$15&gt;0,SUM($C$15:BI15)/$B$15,0)</f>
        <v>0</v>
      </c>
      <c r="BJ46" s="32">
        <f>IF($B$15&gt;0,SUM($C$15:BJ15)/$B$15,0)</f>
        <v>0</v>
      </c>
    </row>
    <row r="47" spans="1:63" hidden="1" x14ac:dyDescent="0.3">
      <c r="A47" s="135" t="str">
        <f t="shared" si="2"/>
        <v xml:space="preserve">Depreciación del activo </v>
      </c>
      <c r="B47" s="136"/>
      <c r="C47" s="32">
        <f>IF($B$16&gt;0,SUM($C$16:C16)/$B$16,0)</f>
        <v>0</v>
      </c>
      <c r="D47" s="32">
        <f>IF($B$16&gt;0,SUM($C$16:D16)/$B$16,0)</f>
        <v>0</v>
      </c>
      <c r="E47" s="32">
        <f>IF($B$16&gt;0,SUM($C$16:E16)/$B$16,0)</f>
        <v>0</v>
      </c>
      <c r="F47" s="32">
        <f>IF($B$16&gt;0,SUM($C$16:F16)/$B$16,0)</f>
        <v>0</v>
      </c>
      <c r="G47" s="32">
        <f>IF($B$16&gt;0,SUM($C$16:G16)/$B$16,0)</f>
        <v>0</v>
      </c>
      <c r="H47" s="32">
        <f>IF($B$16&gt;0,SUM($C$16:H16)/$B$16,0)</f>
        <v>0</v>
      </c>
      <c r="I47" s="32">
        <f>IF($B$16&gt;0,SUM($C$16:I16)/$B$16,0)</f>
        <v>0</v>
      </c>
      <c r="J47" s="32">
        <f>IF($B$16&gt;0,SUM($C$16:J16)/$B$16,0)</f>
        <v>0</v>
      </c>
      <c r="K47" s="32">
        <f>IF($B$16&gt;0,SUM($C$16:K16)/$B$16,0)</f>
        <v>0</v>
      </c>
      <c r="L47" s="32">
        <f>IF($B$16&gt;0,SUM($C$16:L16)/$B$16,0)</f>
        <v>0</v>
      </c>
      <c r="M47" s="32">
        <f>IF($B$16&gt;0,SUM($C$16:M16)/$B$16,0)</f>
        <v>0</v>
      </c>
      <c r="N47" s="32">
        <f>IF($B$16&gt;0,SUM($C$16:N16)/$B$16,0)</f>
        <v>0</v>
      </c>
      <c r="O47" s="32">
        <f>IF($B$16&gt;0,SUM($C$16:O16)/$B$16,0)</f>
        <v>0</v>
      </c>
      <c r="P47" s="32">
        <f>IF($B$16&gt;0,SUM($C$16:P16)/$B$16,0)</f>
        <v>0</v>
      </c>
      <c r="Q47" s="32">
        <f>IF($B$16&gt;0,SUM($C$16:Q16)/$B$16,0)</f>
        <v>0</v>
      </c>
      <c r="R47" s="32">
        <f>IF($B$16&gt;0,SUM($C$16:R16)/$B$16,0)</f>
        <v>0</v>
      </c>
      <c r="S47" s="32">
        <f>IF($B$16&gt;0,SUM($C$16:S16)/$B$16,0)</f>
        <v>0</v>
      </c>
      <c r="T47" s="32">
        <f>IF($B$16&gt;0,SUM($C$16:T16)/$B$16,0)</f>
        <v>0</v>
      </c>
      <c r="U47" s="32">
        <f>IF($B$16&gt;0,SUM($C$16:U16)/$B$16,0)</f>
        <v>0</v>
      </c>
      <c r="V47" s="32">
        <f>IF($B$16&gt;0,SUM($C$16:V16)/$B$16,0)</f>
        <v>0</v>
      </c>
      <c r="W47" s="32">
        <f>IF($B$16&gt;0,SUM($C$16:W16)/$B$16,0)</f>
        <v>0</v>
      </c>
      <c r="X47" s="32">
        <f>IF($B$16&gt;0,SUM($C$16:X16)/$B$16,0)</f>
        <v>0</v>
      </c>
      <c r="Y47" s="32">
        <f>IF($B$16&gt;0,SUM($C$16:Y16)/$B$16,0)</f>
        <v>0</v>
      </c>
      <c r="Z47" s="32">
        <f>IF($B$16&gt;0,SUM($C$16:Z16)/$B$16,0)</f>
        <v>0</v>
      </c>
      <c r="AA47" s="32">
        <f>IF($B$16&gt;0,SUM($C$16:AA16)/$B$16,0)</f>
        <v>0</v>
      </c>
      <c r="AB47" s="32">
        <f>IF($B$16&gt;0,SUM($C$16:AB16)/$B$16,0)</f>
        <v>0</v>
      </c>
      <c r="AC47" s="32">
        <f>IF($B$16&gt;0,SUM($C$16:AC16)/$B$16,0)</f>
        <v>0</v>
      </c>
      <c r="AD47" s="32">
        <f>IF($B$16&gt;0,SUM($C$16:AD16)/$B$16,0)</f>
        <v>0</v>
      </c>
      <c r="AE47" s="32">
        <f>IF($B$16&gt;0,SUM($C$16:AE16)/$B$16,0)</f>
        <v>0</v>
      </c>
      <c r="AF47" s="32">
        <f>IF($B$16&gt;0,SUM($C$16:AF16)/$B$16,0)</f>
        <v>0</v>
      </c>
      <c r="AG47" s="32">
        <f>IF($B$16&gt;0,SUM($C$16:AG16)/$B$16,0)</f>
        <v>0</v>
      </c>
      <c r="AH47" s="32">
        <f>IF($B$16&gt;0,SUM($C$16:AH16)/$B$16,0)</f>
        <v>0</v>
      </c>
      <c r="AI47" s="32">
        <f>IF($B$16&gt;0,SUM($C$16:AI16)/$B$16,0)</f>
        <v>0</v>
      </c>
      <c r="AJ47" s="32">
        <f>IF($B$16&gt;0,SUM($C$16:AJ16)/$B$16,0)</f>
        <v>0</v>
      </c>
      <c r="AK47" s="32">
        <f>IF($B$16&gt;0,SUM($C$16:AK16)/$B$16,0)</f>
        <v>0</v>
      </c>
      <c r="AL47" s="32">
        <f>IF($B$16&gt;0,SUM($C$16:AL16)/$B$16,0)</f>
        <v>0</v>
      </c>
      <c r="AM47" s="32">
        <f>IF($B$16&gt;0,SUM($C$16:AM16)/$B$16,0)</f>
        <v>0</v>
      </c>
      <c r="AN47" s="32">
        <f>IF($B$16&gt;0,SUM($C$16:AN16)/$B$16,0)</f>
        <v>0</v>
      </c>
      <c r="AO47" s="32">
        <f>IF($B$16&gt;0,SUM($C$16:AO16)/$B$16,0)</f>
        <v>0</v>
      </c>
      <c r="AP47" s="32">
        <f>IF($B$16&gt;0,SUM($C$16:AP16)/$B$16,0)</f>
        <v>0</v>
      </c>
      <c r="AQ47" s="32">
        <f>IF($B$16&gt;0,SUM($C$16:AQ16)/$B$16,0)</f>
        <v>0</v>
      </c>
      <c r="AR47" s="32">
        <f>IF($B$16&gt;0,SUM($C$16:AR16)/$B$16,0)</f>
        <v>0</v>
      </c>
      <c r="AS47" s="32">
        <f>IF($B$16&gt;0,SUM($C$16:AS16)/$B$16,0)</f>
        <v>0</v>
      </c>
      <c r="AT47" s="32">
        <f>IF($B$16&gt;0,SUM($C$16:AT16)/$B$16,0)</f>
        <v>0</v>
      </c>
      <c r="AU47" s="32">
        <f>IF($B$16&gt;0,SUM($C$16:AU16)/$B$16,0)</f>
        <v>0</v>
      </c>
      <c r="AV47" s="32">
        <f>IF($B$16&gt;0,SUM($C$16:AV16)/$B$16,0)</f>
        <v>0</v>
      </c>
      <c r="AW47" s="32">
        <f>IF($B$16&gt;0,SUM($C$16:AW16)/$B$16,0)</f>
        <v>0</v>
      </c>
      <c r="AX47" s="32">
        <f>IF($B$16&gt;0,SUM($C$16:AX16)/$B$16,0)</f>
        <v>0</v>
      </c>
      <c r="AY47" s="32">
        <f>IF($B$16&gt;0,SUM($C$16:AY16)/$B$16,0)</f>
        <v>0</v>
      </c>
      <c r="AZ47" s="32">
        <f>IF($B$16&gt;0,SUM($C$16:AZ16)/$B$16,0)</f>
        <v>0</v>
      </c>
      <c r="BA47" s="32">
        <f>IF($B$16&gt;0,SUM($C$16:BA16)/$B$16,0)</f>
        <v>0</v>
      </c>
      <c r="BB47" s="32">
        <f>IF($B$16&gt;0,SUM($C$16:BB16)/$B$16,0)</f>
        <v>0</v>
      </c>
      <c r="BC47" s="32">
        <f>IF($B$16&gt;0,SUM($C$16:BC16)/$B$16,0)</f>
        <v>0</v>
      </c>
      <c r="BD47" s="32">
        <f>IF($B$16&gt;0,SUM($C$16:BD16)/$B$16,0)</f>
        <v>0</v>
      </c>
      <c r="BE47" s="32">
        <f>IF($B$16&gt;0,SUM($C$16:BE16)/$B$16,0)</f>
        <v>0</v>
      </c>
      <c r="BF47" s="32">
        <f>IF($B$16&gt;0,SUM($C$16:BF16)/$B$16,0)</f>
        <v>0</v>
      </c>
      <c r="BG47" s="32">
        <f>IF($B$16&gt;0,SUM($C$16:BG16)/$B$16,0)</f>
        <v>0</v>
      </c>
      <c r="BH47" s="32">
        <f>IF($B$16&gt;0,SUM($C$16:BH16)/$B$16,0)</f>
        <v>0</v>
      </c>
      <c r="BI47" s="32">
        <f>IF($B$16&gt;0,SUM($C$16:BI16)/$B$16,0)</f>
        <v>0</v>
      </c>
      <c r="BJ47" s="32">
        <f>IF($B$16&gt;0,SUM($C$16:BJ16)/$B$16,0)</f>
        <v>0</v>
      </c>
    </row>
    <row r="48" spans="1:63" hidden="1" x14ac:dyDescent="0.3">
      <c r="A48" s="135" t="str">
        <f t="shared" si="2"/>
        <v xml:space="preserve">Depreciación del activo </v>
      </c>
      <c r="B48" s="136"/>
      <c r="C48" s="32">
        <f>IF($B$17&gt;0,SUM($C$17:C17)/$B$17,0)</f>
        <v>0</v>
      </c>
      <c r="D48" s="32">
        <f>IF($B$17&gt;0,SUM($C$17:D17)/$B$17,0)</f>
        <v>0</v>
      </c>
      <c r="E48" s="32">
        <f>IF($B$17&gt;0,SUM($C$17:E17)/$B$17,0)</f>
        <v>0</v>
      </c>
      <c r="F48" s="32">
        <f>IF($B$17&gt;0,SUM($C$17:F17)/$B$17,0)</f>
        <v>0</v>
      </c>
      <c r="G48" s="32">
        <f>IF($B$17&gt;0,SUM($C$17:G17)/$B$17,0)</f>
        <v>0</v>
      </c>
      <c r="H48" s="32">
        <f>IF($B$17&gt;0,SUM($C$17:H17)/$B$17,0)</f>
        <v>0</v>
      </c>
      <c r="I48" s="32">
        <f>IF($B$17&gt;0,SUM($C$17:I17)/$B$17,0)</f>
        <v>0</v>
      </c>
      <c r="J48" s="32">
        <f>IF($B$17&gt;0,SUM($C$17:J17)/$B$17,0)</f>
        <v>0</v>
      </c>
      <c r="K48" s="32">
        <f>IF($B$17&gt;0,SUM($C$17:K17)/$B$17,0)</f>
        <v>0</v>
      </c>
      <c r="L48" s="32">
        <f>IF($B$17&gt;0,SUM($C$17:L17)/$B$17,0)</f>
        <v>0</v>
      </c>
      <c r="M48" s="32">
        <f>IF($B$17&gt;0,SUM($C$17:M17)/$B$17,0)</f>
        <v>0</v>
      </c>
      <c r="N48" s="32">
        <f>IF($B$17&gt;0,SUM($C$17:N17)/$B$17,0)</f>
        <v>0</v>
      </c>
      <c r="O48" s="32">
        <f>IF($B$17&gt;0,SUM($C$17:O17)/$B$17,0)</f>
        <v>0</v>
      </c>
      <c r="P48" s="32">
        <f>IF($B$17&gt;0,SUM($C$17:P17)/$B$17,0)</f>
        <v>0</v>
      </c>
      <c r="Q48" s="32">
        <f>IF($B$17&gt;0,SUM($C$17:Q17)/$B$17,0)</f>
        <v>0</v>
      </c>
      <c r="R48" s="32">
        <f>IF($B$17&gt;0,SUM($C$17:R17)/$B$17,0)</f>
        <v>0</v>
      </c>
      <c r="S48" s="32">
        <f>IF($B$17&gt;0,SUM($C$17:S17)/$B$17,0)</f>
        <v>0</v>
      </c>
      <c r="T48" s="32">
        <f>IF($B$17&gt;0,SUM($C$17:T17)/$B$17,0)</f>
        <v>0</v>
      </c>
      <c r="U48" s="32">
        <f>IF($B$17&gt;0,SUM($C$17:U17)/$B$17,0)</f>
        <v>0</v>
      </c>
      <c r="V48" s="32">
        <f>IF($B$17&gt;0,SUM($C$17:V17)/$B$17,0)</f>
        <v>0</v>
      </c>
      <c r="W48" s="32">
        <f>IF($B$17&gt;0,SUM($C$17:W17)/$B$17,0)</f>
        <v>0</v>
      </c>
      <c r="X48" s="32">
        <f>IF($B$17&gt;0,SUM($C$17:X17)/$B$17,0)</f>
        <v>0</v>
      </c>
      <c r="Y48" s="32">
        <f>IF($B$17&gt;0,SUM($C$17:Y17)/$B$17,0)</f>
        <v>0</v>
      </c>
      <c r="Z48" s="32">
        <f>IF($B$17&gt;0,SUM($C$17:Z17)/$B$17,0)</f>
        <v>0</v>
      </c>
      <c r="AA48" s="32">
        <f>IF($B$17&gt;0,SUM($C$17:AA17)/$B$17,0)</f>
        <v>0</v>
      </c>
      <c r="AB48" s="32">
        <f>IF($B$17&gt;0,SUM($C$17:AB17)/$B$17,0)</f>
        <v>0</v>
      </c>
      <c r="AC48" s="32">
        <f>IF($B$17&gt;0,SUM($C$17:AC17)/$B$17,0)</f>
        <v>0</v>
      </c>
      <c r="AD48" s="32">
        <f>IF($B$17&gt;0,SUM($C$17:AD17)/$B$17,0)</f>
        <v>0</v>
      </c>
      <c r="AE48" s="32">
        <f>IF($B$17&gt;0,SUM($C$17:AE17)/$B$17,0)</f>
        <v>0</v>
      </c>
      <c r="AF48" s="32">
        <f>IF($B$17&gt;0,SUM($C$17:AF17)/$B$17,0)</f>
        <v>0</v>
      </c>
      <c r="AG48" s="32">
        <f>IF($B$17&gt;0,SUM($C$17:AG17)/$B$17,0)</f>
        <v>0</v>
      </c>
      <c r="AH48" s="32">
        <f>IF($B$17&gt;0,SUM($C$17:AH17)/$B$17,0)</f>
        <v>0</v>
      </c>
      <c r="AI48" s="32">
        <f>IF($B$17&gt;0,SUM($C$17:AI17)/$B$17,0)</f>
        <v>0</v>
      </c>
      <c r="AJ48" s="32">
        <f>IF($B$17&gt;0,SUM($C$17:AJ17)/$B$17,0)</f>
        <v>0</v>
      </c>
      <c r="AK48" s="32">
        <f>IF($B$17&gt;0,SUM($C$17:AK17)/$B$17,0)</f>
        <v>0</v>
      </c>
      <c r="AL48" s="32">
        <f>IF($B$17&gt;0,SUM($C$17:AL17)/$B$17,0)</f>
        <v>0</v>
      </c>
      <c r="AM48" s="32">
        <f>IF($B$17&gt;0,SUM($C$17:AM17)/$B$17,0)</f>
        <v>0</v>
      </c>
      <c r="AN48" s="32">
        <f>IF($B$17&gt;0,SUM($C$17:AN17)/$B$17,0)</f>
        <v>0</v>
      </c>
      <c r="AO48" s="32">
        <f>IF($B$17&gt;0,SUM($C$17:AO17)/$B$17,0)</f>
        <v>0</v>
      </c>
      <c r="AP48" s="32">
        <f>IF($B$17&gt;0,SUM($C$17:AP17)/$B$17,0)</f>
        <v>0</v>
      </c>
      <c r="AQ48" s="32">
        <f>IF($B$17&gt;0,SUM($C$17:AQ17)/$B$17,0)</f>
        <v>0</v>
      </c>
      <c r="AR48" s="32">
        <f>IF($B$17&gt;0,SUM($C$17:AR17)/$B$17,0)</f>
        <v>0</v>
      </c>
      <c r="AS48" s="32">
        <f>IF($B$17&gt;0,SUM($C$17:AS17)/$B$17,0)</f>
        <v>0</v>
      </c>
      <c r="AT48" s="32">
        <f>IF($B$17&gt;0,SUM($C$17:AT17)/$B$17,0)</f>
        <v>0</v>
      </c>
      <c r="AU48" s="32">
        <f>IF($B$17&gt;0,SUM($C$17:AU17)/$B$17,0)</f>
        <v>0</v>
      </c>
      <c r="AV48" s="32">
        <f>IF($B$17&gt;0,SUM($C$17:AV17)/$B$17,0)</f>
        <v>0</v>
      </c>
      <c r="AW48" s="32">
        <f>IF($B$17&gt;0,SUM($C$17:AW17)/$B$17,0)</f>
        <v>0</v>
      </c>
      <c r="AX48" s="32">
        <f>IF($B$17&gt;0,SUM($C$17:AX17)/$B$17,0)</f>
        <v>0</v>
      </c>
      <c r="AY48" s="32">
        <f>IF($B$17&gt;0,SUM($C$17:AY17)/$B$17,0)</f>
        <v>0</v>
      </c>
      <c r="AZ48" s="32">
        <f>IF($B$17&gt;0,SUM($C$17:AZ17)/$B$17,0)</f>
        <v>0</v>
      </c>
      <c r="BA48" s="32">
        <f>IF($B$17&gt;0,SUM($C$17:BA17)/$B$17,0)</f>
        <v>0</v>
      </c>
      <c r="BB48" s="32">
        <f>IF($B$17&gt;0,SUM($C$17:BB17)/$B$17,0)</f>
        <v>0</v>
      </c>
      <c r="BC48" s="32">
        <f>IF($B$17&gt;0,SUM($C$17:BC17)/$B$17,0)</f>
        <v>0</v>
      </c>
      <c r="BD48" s="32">
        <f>IF($B$17&gt;0,SUM($C$17:BD17)/$B$17,0)</f>
        <v>0</v>
      </c>
      <c r="BE48" s="32">
        <f>IF($B$17&gt;0,SUM($C$17:BE17)/$B$17,0)</f>
        <v>0</v>
      </c>
      <c r="BF48" s="32">
        <f>IF($B$17&gt;0,SUM($C$17:BF17)/$B$17,0)</f>
        <v>0</v>
      </c>
      <c r="BG48" s="32">
        <f>IF($B$17&gt;0,SUM($C$17:BG17)/$B$17,0)</f>
        <v>0</v>
      </c>
      <c r="BH48" s="32">
        <f>IF($B$17&gt;0,SUM($C$17:BH17)/$B$17,0)</f>
        <v>0</v>
      </c>
      <c r="BI48" s="32">
        <f>IF($B$17&gt;0,SUM($C$17:BI17)/$B$17,0)</f>
        <v>0</v>
      </c>
      <c r="BJ48" s="32">
        <f>IF($B$17&gt;0,SUM($C$17:BJ17)/$B$17,0)</f>
        <v>0</v>
      </c>
    </row>
    <row r="49" spans="1:62" hidden="1" x14ac:dyDescent="0.3">
      <c r="A49" s="135" t="str">
        <f t="shared" si="2"/>
        <v xml:space="preserve">Depreciación del activo </v>
      </c>
      <c r="B49" s="136"/>
      <c r="C49" s="32">
        <f>IF($B$18&gt;0,SUM($C$18:C18)/$B$18,0)</f>
        <v>0</v>
      </c>
      <c r="D49" s="32">
        <f>IF($B$18&gt;0,SUM($C$18:D18)/$B$18,0)</f>
        <v>0</v>
      </c>
      <c r="E49" s="32">
        <f>IF($B$18&gt;0,SUM($C$18:E18)/$B$18,0)</f>
        <v>0</v>
      </c>
      <c r="F49" s="32">
        <f>IF($B$18&gt;0,SUM($C$18:F18)/$B$18,0)</f>
        <v>0</v>
      </c>
      <c r="G49" s="32">
        <f>IF($B$18&gt;0,SUM($C$18:G18)/$B$18,0)</f>
        <v>0</v>
      </c>
      <c r="H49" s="32">
        <f>IF($B$18&gt;0,SUM($C$18:H18)/$B$18,0)</f>
        <v>0</v>
      </c>
      <c r="I49" s="32">
        <f>IF($B$18&gt;0,SUM($C$18:I18)/$B$18,0)</f>
        <v>0</v>
      </c>
      <c r="J49" s="32">
        <f>IF($B$18&gt;0,SUM($C$18:J18)/$B$18,0)</f>
        <v>0</v>
      </c>
      <c r="K49" s="32">
        <f>IF($B$18&gt;0,SUM($C$18:K18)/$B$18,0)</f>
        <v>0</v>
      </c>
      <c r="L49" s="32">
        <f>IF($B$18&gt;0,SUM($C$18:L18)/$B$18,0)</f>
        <v>0</v>
      </c>
      <c r="M49" s="32">
        <f>IF($B$18&gt;0,SUM($C$18:M18)/$B$18,0)</f>
        <v>0</v>
      </c>
      <c r="N49" s="32">
        <f>IF($B$18&gt;0,SUM($C$18:N18)/$B$18,0)</f>
        <v>0</v>
      </c>
      <c r="O49" s="32">
        <f>IF($B$18&gt;0,SUM($C$18:O18)/$B$18,0)</f>
        <v>0</v>
      </c>
      <c r="P49" s="32">
        <f>IF($B$18&gt;0,SUM($C$18:P18)/$B$18,0)</f>
        <v>0</v>
      </c>
      <c r="Q49" s="32">
        <f>IF($B$18&gt;0,SUM($C$18:Q18)/$B$18,0)</f>
        <v>0</v>
      </c>
      <c r="R49" s="32">
        <f>IF($B$18&gt;0,SUM($C$18:R18)/$B$18,0)</f>
        <v>0</v>
      </c>
      <c r="S49" s="32">
        <f>IF($B$18&gt;0,SUM($C$18:S18)/$B$18,0)</f>
        <v>0</v>
      </c>
      <c r="T49" s="32">
        <f>IF($B$18&gt;0,SUM($C$18:T18)/$B$18,0)</f>
        <v>0</v>
      </c>
      <c r="U49" s="32">
        <f>IF($B$18&gt;0,SUM($C$18:U18)/$B$18,0)</f>
        <v>0</v>
      </c>
      <c r="V49" s="32">
        <f>IF($B$18&gt;0,SUM($C$18:V18)/$B$18,0)</f>
        <v>0</v>
      </c>
      <c r="W49" s="32">
        <f>IF($B$18&gt;0,SUM($C$18:W18)/$B$18,0)</f>
        <v>0</v>
      </c>
      <c r="X49" s="32">
        <f>IF($B$18&gt;0,SUM($C$18:X18)/$B$18,0)</f>
        <v>0</v>
      </c>
      <c r="Y49" s="32">
        <f>IF($B$18&gt;0,SUM($C$18:Y18)/$B$18,0)</f>
        <v>0</v>
      </c>
      <c r="Z49" s="32">
        <f>IF($B$18&gt;0,SUM($C$18:Z18)/$B$18,0)</f>
        <v>0</v>
      </c>
      <c r="AA49" s="32">
        <f>IF($B$18&gt;0,SUM($C$18:AA18)/$B$18,0)</f>
        <v>0</v>
      </c>
      <c r="AB49" s="32">
        <f>IF($B$18&gt;0,SUM($C$18:AB18)/$B$18,0)</f>
        <v>0</v>
      </c>
      <c r="AC49" s="32">
        <f>IF($B$18&gt;0,SUM($C$18:AC18)/$B$18,0)</f>
        <v>0</v>
      </c>
      <c r="AD49" s="32">
        <f>IF($B$18&gt;0,SUM($C$18:AD18)/$B$18,0)</f>
        <v>0</v>
      </c>
      <c r="AE49" s="32">
        <f>IF($B$18&gt;0,SUM($C$18:AE18)/$B$18,0)</f>
        <v>0</v>
      </c>
      <c r="AF49" s="32">
        <f>IF($B$18&gt;0,SUM($C$18:AF18)/$B$18,0)</f>
        <v>0</v>
      </c>
      <c r="AG49" s="32">
        <f>IF($B$18&gt;0,SUM($C$18:AG18)/$B$18,0)</f>
        <v>0</v>
      </c>
      <c r="AH49" s="32">
        <f>IF($B$18&gt;0,SUM($C$18:AH18)/$B$18,0)</f>
        <v>0</v>
      </c>
      <c r="AI49" s="32">
        <f>IF($B$18&gt;0,SUM($C$18:AI18)/$B$18,0)</f>
        <v>0</v>
      </c>
      <c r="AJ49" s="32">
        <f>IF($B$18&gt;0,SUM($C$18:AJ18)/$B$18,0)</f>
        <v>0</v>
      </c>
      <c r="AK49" s="32">
        <f>IF($B$18&gt;0,SUM($C$18:AK18)/$B$18,0)</f>
        <v>0</v>
      </c>
      <c r="AL49" s="32">
        <f>IF($B$18&gt;0,SUM($C$18:AL18)/$B$18,0)</f>
        <v>0</v>
      </c>
      <c r="AM49" s="32">
        <f>IF($B$18&gt;0,SUM($C$18:AM18)/$B$18,0)</f>
        <v>0</v>
      </c>
      <c r="AN49" s="32">
        <f>IF($B$18&gt;0,SUM($C$18:AN18)/$B$18,0)</f>
        <v>0</v>
      </c>
      <c r="AO49" s="32">
        <f>IF($B$18&gt;0,SUM($C$18:AO18)/$B$18,0)</f>
        <v>0</v>
      </c>
      <c r="AP49" s="32">
        <f>IF($B$18&gt;0,SUM($C$18:AP18)/$B$18,0)</f>
        <v>0</v>
      </c>
      <c r="AQ49" s="32">
        <f>IF($B$18&gt;0,SUM($C$18:AQ18)/$B$18,0)</f>
        <v>0</v>
      </c>
      <c r="AR49" s="32">
        <f>IF($B$18&gt;0,SUM($C$18:AR18)/$B$18,0)</f>
        <v>0</v>
      </c>
      <c r="AS49" s="32">
        <f>IF($B$18&gt;0,SUM($C$18:AS18)/$B$18,0)</f>
        <v>0</v>
      </c>
      <c r="AT49" s="32">
        <f>IF($B$18&gt;0,SUM($C$18:AT18)/$B$18,0)</f>
        <v>0</v>
      </c>
      <c r="AU49" s="32">
        <f>IF($B$18&gt;0,SUM($C$18:AU18)/$B$18,0)</f>
        <v>0</v>
      </c>
      <c r="AV49" s="32">
        <f>IF($B$18&gt;0,SUM($C$18:AV18)/$B$18,0)</f>
        <v>0</v>
      </c>
      <c r="AW49" s="32">
        <f>IF($B$18&gt;0,SUM($C$18:AW18)/$B$18,0)</f>
        <v>0</v>
      </c>
      <c r="AX49" s="32">
        <f>IF($B$18&gt;0,SUM($C$18:AX18)/$B$18,0)</f>
        <v>0</v>
      </c>
      <c r="AY49" s="32">
        <f>IF($B$18&gt;0,SUM($C$18:AY18)/$B$18,0)</f>
        <v>0</v>
      </c>
      <c r="AZ49" s="32">
        <f>IF($B$18&gt;0,SUM($C$18:AZ18)/$B$18,0)</f>
        <v>0</v>
      </c>
      <c r="BA49" s="32">
        <f>IF($B$18&gt;0,SUM($C$18:BA18)/$B$18,0)</f>
        <v>0</v>
      </c>
      <c r="BB49" s="32">
        <f>IF($B$18&gt;0,SUM($C$18:BB18)/$B$18,0)</f>
        <v>0</v>
      </c>
      <c r="BC49" s="32">
        <f>IF($B$18&gt;0,SUM($C$18:BC18)/$B$18,0)</f>
        <v>0</v>
      </c>
      <c r="BD49" s="32">
        <f>IF($B$18&gt;0,SUM($C$18:BD18)/$B$18,0)</f>
        <v>0</v>
      </c>
      <c r="BE49" s="32">
        <f>IF($B$18&gt;0,SUM($C$18:BE18)/$B$18,0)</f>
        <v>0</v>
      </c>
      <c r="BF49" s="32">
        <f>IF($B$18&gt;0,SUM($C$18:BF18)/$B$18,0)</f>
        <v>0</v>
      </c>
      <c r="BG49" s="32">
        <f>IF($B$18&gt;0,SUM($C$18:BG18)/$B$18,0)</f>
        <v>0</v>
      </c>
      <c r="BH49" s="32">
        <f>IF($B$18&gt;0,SUM($C$18:BH18)/$B$18,0)</f>
        <v>0</v>
      </c>
      <c r="BI49" s="32">
        <f>IF($B$18&gt;0,SUM($C$18:BI18)/$B$18,0)</f>
        <v>0</v>
      </c>
      <c r="BJ49" s="32">
        <f>IF($B$18&gt;0,SUM($C$18:BJ18)/$B$18,0)</f>
        <v>0</v>
      </c>
    </row>
    <row r="50" spans="1:62" hidden="1" x14ac:dyDescent="0.3">
      <c r="A50" s="135" t="str">
        <f t="shared" si="2"/>
        <v xml:space="preserve">Depreciación del activo </v>
      </c>
      <c r="B50" s="136"/>
      <c r="C50" s="32">
        <f>IF($B$19&gt;0,SUM($C$19:C19)/$B$19,0)</f>
        <v>0</v>
      </c>
      <c r="D50" s="32">
        <f>IF($B$19&gt;0,SUM($C$19:D19)/$B$19,0)</f>
        <v>0</v>
      </c>
      <c r="E50" s="32">
        <f>IF($B$19&gt;0,SUM($C$19:E19)/$B$19,0)</f>
        <v>0</v>
      </c>
      <c r="F50" s="32">
        <f>IF($B$19&gt;0,SUM($C$19:F19)/$B$19,0)</f>
        <v>0</v>
      </c>
      <c r="G50" s="32">
        <f>IF($B$19&gt;0,SUM($C$19:G19)/$B$19,0)</f>
        <v>0</v>
      </c>
      <c r="H50" s="32">
        <f>IF($B$19&gt;0,SUM($C$19:H19)/$B$19,0)</f>
        <v>0</v>
      </c>
      <c r="I50" s="32">
        <f>IF($B$19&gt;0,SUM($C$19:I19)/$B$19,0)</f>
        <v>0</v>
      </c>
      <c r="J50" s="32">
        <f>IF($B$19&gt;0,SUM($C$19:J19)/$B$19,0)</f>
        <v>0</v>
      </c>
      <c r="K50" s="32">
        <f>IF($B$19&gt;0,SUM($C$19:K19)/$B$19,0)</f>
        <v>0</v>
      </c>
      <c r="L50" s="32">
        <f>IF($B$19&gt;0,SUM($C$19:L19)/$B$19,0)</f>
        <v>0</v>
      </c>
      <c r="M50" s="32">
        <f>IF($B$19&gt;0,SUM($C$19:M19)/$B$19,0)</f>
        <v>0</v>
      </c>
      <c r="N50" s="32">
        <f>IF($B$19&gt;0,SUM($C$19:N19)/$B$19,0)</f>
        <v>0</v>
      </c>
      <c r="O50" s="32">
        <f>IF($B$19&gt;0,SUM($C$19:O19)/$B$19,0)</f>
        <v>0</v>
      </c>
      <c r="P50" s="32">
        <f>IF($B$19&gt;0,SUM($C$19:P19)/$B$19,0)</f>
        <v>0</v>
      </c>
      <c r="Q50" s="32">
        <f>IF($B$19&gt;0,SUM($C$19:Q19)/$B$19,0)</f>
        <v>0</v>
      </c>
      <c r="R50" s="32">
        <f>IF($B$19&gt;0,SUM($C$19:R19)/$B$19,0)</f>
        <v>0</v>
      </c>
      <c r="S50" s="32">
        <f>IF($B$19&gt;0,SUM($C$19:S19)/$B$19,0)</f>
        <v>0</v>
      </c>
      <c r="T50" s="32">
        <f>IF($B$19&gt;0,SUM($C$19:T19)/$B$19,0)</f>
        <v>0</v>
      </c>
      <c r="U50" s="32">
        <f>IF($B$19&gt;0,SUM($C$19:U19)/$B$19,0)</f>
        <v>0</v>
      </c>
      <c r="V50" s="32">
        <f>IF($B$19&gt;0,SUM($C$19:V19)/$B$19,0)</f>
        <v>0</v>
      </c>
      <c r="W50" s="32">
        <f>IF($B$19&gt;0,SUM($C$19:W19)/$B$19,0)</f>
        <v>0</v>
      </c>
      <c r="X50" s="32">
        <f>IF($B$19&gt;0,SUM($C$19:X19)/$B$19,0)</f>
        <v>0</v>
      </c>
      <c r="Y50" s="32">
        <f>IF($B$19&gt;0,SUM($C$19:Y19)/$B$19,0)</f>
        <v>0</v>
      </c>
      <c r="Z50" s="32">
        <f>IF($B$19&gt;0,SUM($C$19:Z19)/$B$19,0)</f>
        <v>0</v>
      </c>
      <c r="AA50" s="32">
        <f>IF($B$19&gt;0,SUM($C$19:AA19)/$B$19,0)</f>
        <v>0</v>
      </c>
      <c r="AB50" s="32">
        <f>IF($B$19&gt;0,SUM($C$19:AB19)/$B$19,0)</f>
        <v>0</v>
      </c>
      <c r="AC50" s="32">
        <f>IF($B$19&gt;0,SUM($C$19:AC19)/$B$19,0)</f>
        <v>0</v>
      </c>
      <c r="AD50" s="32">
        <f>IF($B$19&gt;0,SUM($C$19:AD19)/$B$19,0)</f>
        <v>0</v>
      </c>
      <c r="AE50" s="32">
        <f>IF($B$19&gt;0,SUM($C$19:AE19)/$B$19,0)</f>
        <v>0</v>
      </c>
      <c r="AF50" s="32">
        <f>IF($B$19&gt;0,SUM($C$19:AF19)/$B$19,0)</f>
        <v>0</v>
      </c>
      <c r="AG50" s="32">
        <f>IF($B$19&gt;0,SUM($C$19:AG19)/$B$19,0)</f>
        <v>0</v>
      </c>
      <c r="AH50" s="32">
        <f>IF($B$19&gt;0,SUM($C$19:AH19)/$B$19,0)</f>
        <v>0</v>
      </c>
      <c r="AI50" s="32">
        <f>IF($B$19&gt;0,SUM($C$19:AI19)/$B$19,0)</f>
        <v>0</v>
      </c>
      <c r="AJ50" s="32">
        <f>IF($B$19&gt;0,SUM($C$19:AJ19)/$B$19,0)</f>
        <v>0</v>
      </c>
      <c r="AK50" s="32">
        <f>IF($B$19&gt;0,SUM($C$19:AK19)/$B$19,0)</f>
        <v>0</v>
      </c>
      <c r="AL50" s="32">
        <f>IF($B$19&gt;0,SUM($C$19:AL19)/$B$19,0)</f>
        <v>0</v>
      </c>
      <c r="AM50" s="32">
        <f>IF($B$19&gt;0,SUM($C$19:AM19)/$B$19,0)</f>
        <v>0</v>
      </c>
      <c r="AN50" s="32">
        <f>IF($B$19&gt;0,SUM($C$19:AN19)/$B$19,0)</f>
        <v>0</v>
      </c>
      <c r="AO50" s="32">
        <f>IF($B$19&gt;0,SUM($C$19:AO19)/$B$19,0)</f>
        <v>0</v>
      </c>
      <c r="AP50" s="32">
        <f>IF($B$19&gt;0,SUM($C$19:AP19)/$B$19,0)</f>
        <v>0</v>
      </c>
      <c r="AQ50" s="32">
        <f>IF($B$19&gt;0,SUM($C$19:AQ19)/$B$19,0)</f>
        <v>0</v>
      </c>
      <c r="AR50" s="32">
        <f>IF($B$19&gt;0,SUM($C$19:AR19)/$B$19,0)</f>
        <v>0</v>
      </c>
      <c r="AS50" s="32">
        <f>IF($B$19&gt;0,SUM($C$19:AS19)/$B$19,0)</f>
        <v>0</v>
      </c>
      <c r="AT50" s="32">
        <f>IF($B$19&gt;0,SUM($C$19:AT19)/$B$19,0)</f>
        <v>0</v>
      </c>
      <c r="AU50" s="32">
        <f>IF($B$19&gt;0,SUM($C$19:AU19)/$B$19,0)</f>
        <v>0</v>
      </c>
      <c r="AV50" s="32">
        <f>IF($B$19&gt;0,SUM($C$19:AV19)/$B$19,0)</f>
        <v>0</v>
      </c>
      <c r="AW50" s="32">
        <f>IF($B$19&gt;0,SUM($C$19:AW19)/$B$19,0)</f>
        <v>0</v>
      </c>
      <c r="AX50" s="32">
        <f>IF($B$19&gt;0,SUM($C$19:AX19)/$B$19,0)</f>
        <v>0</v>
      </c>
      <c r="AY50" s="32">
        <f>IF($B$19&gt;0,SUM($C$19:AY19)/$B$19,0)</f>
        <v>0</v>
      </c>
      <c r="AZ50" s="32">
        <f>IF($B$19&gt;0,SUM($C$19:AZ19)/$B$19,0)</f>
        <v>0</v>
      </c>
      <c r="BA50" s="32">
        <f>IF($B$19&gt;0,SUM($C$19:BA19)/$B$19,0)</f>
        <v>0</v>
      </c>
      <c r="BB50" s="32">
        <f>IF($B$19&gt;0,SUM($C$19:BB19)/$B$19,0)</f>
        <v>0</v>
      </c>
      <c r="BC50" s="32">
        <f>IF($B$19&gt;0,SUM($C$19:BC19)/$B$19,0)</f>
        <v>0</v>
      </c>
      <c r="BD50" s="32">
        <f>IF($B$19&gt;0,SUM($C$19:BD19)/$B$19,0)</f>
        <v>0</v>
      </c>
      <c r="BE50" s="32">
        <f>IF($B$19&gt;0,SUM($C$19:BE19)/$B$19,0)</f>
        <v>0</v>
      </c>
      <c r="BF50" s="32">
        <f>IF($B$19&gt;0,SUM($C$19:BF19)/$B$19,0)</f>
        <v>0</v>
      </c>
      <c r="BG50" s="32">
        <f>IF($B$19&gt;0,SUM($C$19:BG19)/$B$19,0)</f>
        <v>0</v>
      </c>
      <c r="BH50" s="32">
        <f>IF($B$19&gt;0,SUM($C$19:BH19)/$B$19,0)</f>
        <v>0</v>
      </c>
      <c r="BI50" s="32">
        <f>IF($B$19&gt;0,SUM($C$19:BI19)/$B$19,0)</f>
        <v>0</v>
      </c>
      <c r="BJ50" s="32">
        <f>IF($B$19&gt;0,SUM($C$19:BJ19)/$B$19,0)</f>
        <v>0</v>
      </c>
    </row>
    <row r="51" spans="1:62" hidden="1" x14ac:dyDescent="0.3">
      <c r="A51" s="135" t="str">
        <f t="shared" si="2"/>
        <v xml:space="preserve">Depreciación del activo </v>
      </c>
      <c r="B51" s="136"/>
      <c r="C51" s="32">
        <f>IF($B$20&gt;0,SUM($C$20:C20)/$B$20,0)</f>
        <v>0</v>
      </c>
      <c r="D51" s="32">
        <f>IF($B$20&gt;0,SUM($C$20:D20)/$B$20,0)</f>
        <v>0</v>
      </c>
      <c r="E51" s="32">
        <f>IF($B$20&gt;0,SUM($C$20:E20)/$B$20,0)</f>
        <v>0</v>
      </c>
      <c r="F51" s="32">
        <f>IF($B$20&gt;0,SUM($C$20:F20)/$B$20,0)</f>
        <v>0</v>
      </c>
      <c r="G51" s="32">
        <f>IF($B$20&gt;0,SUM($C$20:G20)/$B$20,0)</f>
        <v>0</v>
      </c>
      <c r="H51" s="32">
        <f>IF($B$20&gt;0,SUM($C$20:H20)/$B$20,0)</f>
        <v>0</v>
      </c>
      <c r="I51" s="32">
        <f>IF($B$20&gt;0,SUM($C$20:I20)/$B$20,0)</f>
        <v>0</v>
      </c>
      <c r="J51" s="32">
        <f>IF($B$20&gt;0,SUM($C$20:J20)/$B$20,0)</f>
        <v>0</v>
      </c>
      <c r="K51" s="32">
        <f>IF($B$20&gt;0,SUM($C$20:K20)/$B$20,0)</f>
        <v>0</v>
      </c>
      <c r="L51" s="32">
        <f>IF($B$20&gt;0,SUM($C$20:L20)/$B$20,0)</f>
        <v>0</v>
      </c>
      <c r="M51" s="32">
        <f>IF($B$20&gt;0,SUM($C$20:M20)/$B$20,0)</f>
        <v>0</v>
      </c>
      <c r="N51" s="32">
        <f>IF($B$20&gt;0,SUM($C$20:N20)/$B$20,0)</f>
        <v>0</v>
      </c>
      <c r="O51" s="32">
        <f>IF($B$20&gt;0,SUM($C$20:O20)/$B$20,0)</f>
        <v>0</v>
      </c>
      <c r="P51" s="32">
        <f>IF($B$20&gt;0,SUM($C$20:P20)/$B$20,0)</f>
        <v>0</v>
      </c>
      <c r="Q51" s="32">
        <f>IF($B$20&gt;0,SUM($C$20:Q20)/$B$20,0)</f>
        <v>0</v>
      </c>
      <c r="R51" s="32">
        <f>IF($B$20&gt;0,SUM($C$20:R20)/$B$20,0)</f>
        <v>0</v>
      </c>
      <c r="S51" s="32">
        <f>IF($B$20&gt;0,SUM($C$20:S20)/$B$20,0)</f>
        <v>0</v>
      </c>
      <c r="T51" s="32">
        <f>IF($B$20&gt;0,SUM($C$20:T20)/$B$20,0)</f>
        <v>0</v>
      </c>
      <c r="U51" s="32">
        <f>IF($B$20&gt;0,SUM($C$20:U20)/$B$20,0)</f>
        <v>0</v>
      </c>
      <c r="V51" s="32">
        <f>IF($B$20&gt;0,SUM($C$20:V20)/$B$20,0)</f>
        <v>0</v>
      </c>
      <c r="W51" s="32">
        <f>IF($B$20&gt;0,SUM($C$20:W20)/$B$20,0)</f>
        <v>0</v>
      </c>
      <c r="X51" s="32">
        <f>IF($B$20&gt;0,SUM($C$20:X20)/$B$20,0)</f>
        <v>0</v>
      </c>
      <c r="Y51" s="32">
        <f>IF($B$20&gt;0,SUM($C$20:Y20)/$B$20,0)</f>
        <v>0</v>
      </c>
      <c r="Z51" s="32">
        <f>IF($B$20&gt;0,SUM($C$20:Z20)/$B$20,0)</f>
        <v>0</v>
      </c>
      <c r="AA51" s="32">
        <f>IF($B$20&gt;0,SUM($C$20:AA20)/$B$20,0)</f>
        <v>0</v>
      </c>
      <c r="AB51" s="32">
        <f>IF($B$20&gt;0,SUM($C$20:AB20)/$B$20,0)</f>
        <v>0</v>
      </c>
      <c r="AC51" s="32">
        <f>IF($B$20&gt;0,SUM($C$20:AC20)/$B$20,0)</f>
        <v>0</v>
      </c>
      <c r="AD51" s="32">
        <f>IF($B$20&gt;0,SUM($C$20:AD20)/$B$20,0)</f>
        <v>0</v>
      </c>
      <c r="AE51" s="32">
        <f>IF($B$20&gt;0,SUM($C$20:AE20)/$B$20,0)</f>
        <v>0</v>
      </c>
      <c r="AF51" s="32">
        <f>IF($B$20&gt;0,SUM($C$20:AF20)/$B$20,0)</f>
        <v>0</v>
      </c>
      <c r="AG51" s="32">
        <f>IF($B$20&gt;0,SUM($C$20:AG20)/$B$20,0)</f>
        <v>0</v>
      </c>
      <c r="AH51" s="32">
        <f>IF($B$20&gt;0,SUM($C$20:AH20)/$B$20,0)</f>
        <v>0</v>
      </c>
      <c r="AI51" s="32">
        <f>IF($B$20&gt;0,SUM($C$20:AI20)/$B$20,0)</f>
        <v>0</v>
      </c>
      <c r="AJ51" s="32">
        <f>IF($B$20&gt;0,SUM($C$20:AJ20)/$B$20,0)</f>
        <v>0</v>
      </c>
      <c r="AK51" s="32">
        <f>IF($B$20&gt;0,SUM($C$20:AK20)/$B$20,0)</f>
        <v>0</v>
      </c>
      <c r="AL51" s="32">
        <f>IF($B$20&gt;0,SUM($C$20:AL20)/$B$20,0)</f>
        <v>0</v>
      </c>
      <c r="AM51" s="32">
        <f>IF($B$20&gt;0,SUM($C$20:AM20)/$B$20,0)</f>
        <v>0</v>
      </c>
      <c r="AN51" s="32">
        <f>IF($B$20&gt;0,SUM($C$20:AN20)/$B$20,0)</f>
        <v>0</v>
      </c>
      <c r="AO51" s="32">
        <f>IF($B$20&gt;0,SUM($C$20:AO20)/$B$20,0)</f>
        <v>0</v>
      </c>
      <c r="AP51" s="32">
        <f>IF($B$20&gt;0,SUM($C$20:AP20)/$B$20,0)</f>
        <v>0</v>
      </c>
      <c r="AQ51" s="32">
        <f>IF($B$20&gt;0,SUM($C$20:AQ20)/$B$20,0)</f>
        <v>0</v>
      </c>
      <c r="AR51" s="32">
        <f>IF($B$20&gt;0,SUM($C$20:AR20)/$B$20,0)</f>
        <v>0</v>
      </c>
      <c r="AS51" s="32">
        <f>IF($B$20&gt;0,SUM($C$20:AS20)/$B$20,0)</f>
        <v>0</v>
      </c>
      <c r="AT51" s="32">
        <f>IF($B$20&gt;0,SUM($C$20:AT20)/$B$20,0)</f>
        <v>0</v>
      </c>
      <c r="AU51" s="32">
        <f>IF($B$20&gt;0,SUM($C$20:AU20)/$B$20,0)</f>
        <v>0</v>
      </c>
      <c r="AV51" s="32">
        <f>IF($B$20&gt;0,SUM($C$20:AV20)/$B$20,0)</f>
        <v>0</v>
      </c>
      <c r="AW51" s="32">
        <f>IF($B$20&gt;0,SUM($C$20:AW20)/$B$20,0)</f>
        <v>0</v>
      </c>
      <c r="AX51" s="32">
        <f>IF($B$20&gt;0,SUM($C$20:AX20)/$B$20,0)</f>
        <v>0</v>
      </c>
      <c r="AY51" s="32">
        <f>IF($B$20&gt;0,SUM($C$20:AY20)/$B$20,0)</f>
        <v>0</v>
      </c>
      <c r="AZ51" s="32">
        <f>IF($B$20&gt;0,SUM($C$20:AZ20)/$B$20,0)</f>
        <v>0</v>
      </c>
      <c r="BA51" s="32">
        <f>IF($B$20&gt;0,SUM($C$20:BA20)/$B$20,0)</f>
        <v>0</v>
      </c>
      <c r="BB51" s="32">
        <f>IF($B$20&gt;0,SUM($C$20:BB20)/$B$20,0)</f>
        <v>0</v>
      </c>
      <c r="BC51" s="32">
        <f>IF($B$20&gt;0,SUM($C$20:BC20)/$B$20,0)</f>
        <v>0</v>
      </c>
      <c r="BD51" s="32">
        <f>IF($B$20&gt;0,SUM($C$20:BD20)/$B$20,0)</f>
        <v>0</v>
      </c>
      <c r="BE51" s="32">
        <f>IF($B$20&gt;0,SUM($C$20:BE20)/$B$20,0)</f>
        <v>0</v>
      </c>
      <c r="BF51" s="32">
        <f>IF($B$20&gt;0,SUM($C$20:BF20)/$B$20,0)</f>
        <v>0</v>
      </c>
      <c r="BG51" s="32">
        <f>IF($B$20&gt;0,SUM($C$20:BG20)/$B$20,0)</f>
        <v>0</v>
      </c>
      <c r="BH51" s="32">
        <f>IF($B$20&gt;0,SUM($C$20:BH20)/$B$20,0)</f>
        <v>0</v>
      </c>
      <c r="BI51" s="32">
        <f>IF($B$20&gt;0,SUM($C$20:BI20)/$B$20,0)</f>
        <v>0</v>
      </c>
      <c r="BJ51" s="32">
        <f>IF($B$20&gt;0,SUM($C$20:BJ20)/$B$20,0)</f>
        <v>0</v>
      </c>
    </row>
    <row r="52" spans="1:62" hidden="1" x14ac:dyDescent="0.3">
      <c r="A52" s="135" t="str">
        <f t="shared" si="2"/>
        <v xml:space="preserve">Depreciación del activo </v>
      </c>
      <c r="B52" s="136"/>
      <c r="C52" s="32">
        <f>IF($B$21&gt;0,SUM($C$21:C21)/$B$21,0)</f>
        <v>0</v>
      </c>
      <c r="D52" s="32">
        <f>IF($B$21&gt;0,SUM($C$21:D21)/$B$21,0)</f>
        <v>0</v>
      </c>
      <c r="E52" s="32">
        <f>IF($B$21&gt;0,SUM($C$21:E21)/$B$21,0)</f>
        <v>0</v>
      </c>
      <c r="F52" s="32">
        <f>IF($B$21&gt;0,SUM($C$21:F21)/$B$21,0)</f>
        <v>0</v>
      </c>
      <c r="G52" s="32">
        <f>IF($B$21&gt;0,SUM($C$21:G21)/$B$21,0)</f>
        <v>0</v>
      </c>
      <c r="H52" s="32">
        <f>IF($B$21&gt;0,SUM($C$21:H21)/$B$21,0)</f>
        <v>0</v>
      </c>
      <c r="I52" s="32">
        <f>IF($B$21&gt;0,SUM($C$21:I21)/$B$21,0)</f>
        <v>0</v>
      </c>
      <c r="J52" s="32">
        <f>IF($B$21&gt;0,SUM($C$21:J21)/$B$21,0)</f>
        <v>0</v>
      </c>
      <c r="K52" s="32">
        <f>IF($B$21&gt;0,SUM($C$21:K21)/$B$21,0)</f>
        <v>0</v>
      </c>
      <c r="L52" s="32">
        <f>IF($B$21&gt;0,SUM($C$21:L21)/$B$21,0)</f>
        <v>0</v>
      </c>
      <c r="M52" s="32">
        <f>IF($B$21&gt;0,SUM($C$21:M21)/$B$21,0)</f>
        <v>0</v>
      </c>
      <c r="N52" s="32">
        <f>IF($B$21&gt;0,SUM($C$21:N21)/$B$21,0)</f>
        <v>0</v>
      </c>
      <c r="O52" s="32">
        <f>IF($B$21&gt;0,SUM($C$21:O21)/$B$21,0)</f>
        <v>0</v>
      </c>
      <c r="P52" s="32">
        <f>IF($B$21&gt;0,SUM($C$21:P21)/$B$21,0)</f>
        <v>0</v>
      </c>
      <c r="Q52" s="32">
        <f>IF($B$21&gt;0,SUM($C$21:Q21)/$B$21,0)</f>
        <v>0</v>
      </c>
      <c r="R52" s="32">
        <f>IF($B$21&gt;0,SUM($C$21:R21)/$B$21,0)</f>
        <v>0</v>
      </c>
      <c r="S52" s="32">
        <f>IF($B$21&gt;0,SUM($C$21:S21)/$B$21,0)</f>
        <v>0</v>
      </c>
      <c r="T52" s="32">
        <f>IF($B$21&gt;0,SUM($C$21:T21)/$B$21,0)</f>
        <v>0</v>
      </c>
      <c r="U52" s="32">
        <f>IF($B$21&gt;0,SUM($C$21:U21)/$B$21,0)</f>
        <v>0</v>
      </c>
      <c r="V52" s="32">
        <f>IF($B$21&gt;0,SUM($C$21:V21)/$B$21,0)</f>
        <v>0</v>
      </c>
      <c r="W52" s="32">
        <f>IF($B$21&gt;0,SUM($C$21:W21)/$B$21,0)</f>
        <v>0</v>
      </c>
      <c r="X52" s="32">
        <f>IF($B$21&gt;0,SUM($C$21:X21)/$B$21,0)</f>
        <v>0</v>
      </c>
      <c r="Y52" s="32">
        <f>IF($B$21&gt;0,SUM($C$21:Y21)/$B$21,0)</f>
        <v>0</v>
      </c>
      <c r="Z52" s="32">
        <f>IF($B$21&gt;0,SUM($C$21:Z21)/$B$21,0)</f>
        <v>0</v>
      </c>
      <c r="AA52" s="32">
        <f>IF($B$21&gt;0,SUM($C$21:AA21)/$B$21,0)</f>
        <v>0</v>
      </c>
      <c r="AB52" s="32">
        <f>IF($B$21&gt;0,SUM($C$21:AB21)/$B$21,0)</f>
        <v>0</v>
      </c>
      <c r="AC52" s="32">
        <f>IF($B$21&gt;0,SUM($C$21:AC21)/$B$21,0)</f>
        <v>0</v>
      </c>
      <c r="AD52" s="32">
        <f>IF($B$21&gt;0,SUM($C$21:AD21)/$B$21,0)</f>
        <v>0</v>
      </c>
      <c r="AE52" s="32">
        <f>IF($B$21&gt;0,SUM($C$21:AE21)/$B$21,0)</f>
        <v>0</v>
      </c>
      <c r="AF52" s="32">
        <f>IF($B$21&gt;0,SUM($C$21:AF21)/$B$21,0)</f>
        <v>0</v>
      </c>
      <c r="AG52" s="32">
        <f>IF($B$21&gt;0,SUM($C$21:AG21)/$B$21,0)</f>
        <v>0</v>
      </c>
      <c r="AH52" s="32">
        <f>IF($B$21&gt;0,SUM($C$21:AH21)/$B$21,0)</f>
        <v>0</v>
      </c>
      <c r="AI52" s="32">
        <f>IF($B$21&gt;0,SUM($C$21:AI21)/$B$21,0)</f>
        <v>0</v>
      </c>
      <c r="AJ52" s="32">
        <f>IF($B$21&gt;0,SUM($C$21:AJ21)/$B$21,0)</f>
        <v>0</v>
      </c>
      <c r="AK52" s="32">
        <f>IF($B$21&gt;0,SUM($C$21:AK21)/$B$21,0)</f>
        <v>0</v>
      </c>
      <c r="AL52" s="32">
        <f>IF($B$21&gt;0,SUM($C$21:AL21)/$B$21,0)</f>
        <v>0</v>
      </c>
      <c r="AM52" s="32">
        <f>IF($B$21&gt;0,SUM($C$21:AM21)/$B$21,0)</f>
        <v>0</v>
      </c>
      <c r="AN52" s="32">
        <f>IF($B$21&gt;0,SUM($C$21:AN21)/$B$21,0)</f>
        <v>0</v>
      </c>
      <c r="AO52" s="32">
        <f>IF($B$21&gt;0,SUM($C$21:AO21)/$B$21,0)</f>
        <v>0</v>
      </c>
      <c r="AP52" s="32">
        <f>IF($B$21&gt;0,SUM($C$21:AP21)/$B$21,0)</f>
        <v>0</v>
      </c>
      <c r="AQ52" s="32">
        <f>IF($B$21&gt;0,SUM($C$21:AQ21)/$B$21,0)</f>
        <v>0</v>
      </c>
      <c r="AR52" s="32">
        <f>IF($B$21&gt;0,SUM($C$21:AR21)/$B$21,0)</f>
        <v>0</v>
      </c>
      <c r="AS52" s="32">
        <f>IF($B$21&gt;0,SUM($C$21:AS21)/$B$21,0)</f>
        <v>0</v>
      </c>
      <c r="AT52" s="32">
        <f>IF($B$21&gt;0,SUM($C$21:AT21)/$B$21,0)</f>
        <v>0</v>
      </c>
      <c r="AU52" s="32">
        <f>IF($B$21&gt;0,SUM($C$21:AU21)/$B$21,0)</f>
        <v>0</v>
      </c>
      <c r="AV52" s="32">
        <f>IF($B$21&gt;0,SUM($C$21:AV21)/$B$21,0)</f>
        <v>0</v>
      </c>
      <c r="AW52" s="32">
        <f>IF($B$21&gt;0,SUM($C$21:AW21)/$B$21,0)</f>
        <v>0</v>
      </c>
      <c r="AX52" s="32">
        <f>IF($B$21&gt;0,SUM($C$21:AX21)/$B$21,0)</f>
        <v>0</v>
      </c>
      <c r="AY52" s="32">
        <f>IF($B$21&gt;0,SUM($C$21:AY21)/$B$21,0)</f>
        <v>0</v>
      </c>
      <c r="AZ52" s="32">
        <f>IF($B$21&gt;0,SUM($C$21:AZ21)/$B$21,0)</f>
        <v>0</v>
      </c>
      <c r="BA52" s="32">
        <f>IF($B$21&gt;0,SUM($C$21:BA21)/$B$21,0)</f>
        <v>0</v>
      </c>
      <c r="BB52" s="32">
        <f>IF($B$21&gt;0,SUM($C$21:BB21)/$B$21,0)</f>
        <v>0</v>
      </c>
      <c r="BC52" s="32">
        <f>IF($B$21&gt;0,SUM($C$21:BC21)/$B$21,0)</f>
        <v>0</v>
      </c>
      <c r="BD52" s="32">
        <f>IF($B$21&gt;0,SUM($C$21:BD21)/$B$21,0)</f>
        <v>0</v>
      </c>
      <c r="BE52" s="32">
        <f>IF($B$21&gt;0,SUM($C$21:BE21)/$B$21,0)</f>
        <v>0</v>
      </c>
      <c r="BF52" s="32">
        <f>IF($B$21&gt;0,SUM($C$21:BF21)/$B$21,0)</f>
        <v>0</v>
      </c>
      <c r="BG52" s="32">
        <f>IF($B$21&gt;0,SUM($C$21:BG21)/$B$21,0)</f>
        <v>0</v>
      </c>
      <c r="BH52" s="32">
        <f>IF($B$21&gt;0,SUM($C$21:BH21)/$B$21,0)</f>
        <v>0</v>
      </c>
      <c r="BI52" s="32">
        <f>IF($B$21&gt;0,SUM($C$21:BI21)/$B$21,0)</f>
        <v>0</v>
      </c>
      <c r="BJ52" s="32">
        <f>IF($B$21&gt;0,SUM($C$21:BJ21)/$B$21,0)</f>
        <v>0</v>
      </c>
    </row>
    <row r="53" spans="1:62" hidden="1" x14ac:dyDescent="0.3">
      <c r="A53" s="135" t="str">
        <f t="shared" si="2"/>
        <v xml:space="preserve">Depreciación del activo </v>
      </c>
      <c r="B53" s="136"/>
      <c r="C53" s="32">
        <f>IF($B$22&gt;0,SUM($C$22:C22)/$B$22,0)</f>
        <v>0</v>
      </c>
      <c r="D53" s="32">
        <f>IF($B$22&gt;0,SUM($C$22:D22)/$B$22,0)</f>
        <v>0</v>
      </c>
      <c r="E53" s="32">
        <f>IF($B$22&gt;0,SUM($C$22:E22)/$B$22,0)</f>
        <v>0</v>
      </c>
      <c r="F53" s="32">
        <f>IF($B$22&gt;0,SUM($C$22:F22)/$B$22,0)</f>
        <v>0</v>
      </c>
      <c r="G53" s="32">
        <f>IF($B$22&gt;0,SUM($C$22:G22)/$B$22,0)</f>
        <v>0</v>
      </c>
      <c r="H53" s="32">
        <f>IF($B$22&gt;0,SUM($C$22:H22)/$B$22,0)</f>
        <v>0</v>
      </c>
      <c r="I53" s="32">
        <f>IF($B$22&gt;0,SUM($C$22:I22)/$B$22,0)</f>
        <v>0</v>
      </c>
      <c r="J53" s="32">
        <f>IF($B$22&gt;0,SUM($C$22:J22)/$B$22,0)</f>
        <v>0</v>
      </c>
      <c r="K53" s="32">
        <f>IF($B$22&gt;0,SUM($C$22:K22)/$B$22,0)</f>
        <v>0</v>
      </c>
      <c r="L53" s="32">
        <f>IF($B$22&gt;0,SUM($C$22:L22)/$B$22,0)</f>
        <v>0</v>
      </c>
      <c r="M53" s="32">
        <f>IF($B$22&gt;0,SUM($C$22:M22)/$B$22,0)</f>
        <v>0</v>
      </c>
      <c r="N53" s="32">
        <f>IF($B$22&gt;0,SUM($C$22:N22)/$B$22,0)</f>
        <v>0</v>
      </c>
      <c r="O53" s="32">
        <f>IF($B$22&gt;0,SUM($C$22:O22)/$B$22,0)</f>
        <v>0</v>
      </c>
      <c r="P53" s="32">
        <f>IF($B$22&gt;0,SUM($C$22:P22)/$B$22,0)</f>
        <v>0</v>
      </c>
      <c r="Q53" s="32">
        <f>IF($B$22&gt;0,SUM($C$22:Q22)/$B$22,0)</f>
        <v>0</v>
      </c>
      <c r="R53" s="32">
        <f>IF($B$22&gt;0,SUM($C$22:R22)/$B$22,0)</f>
        <v>0</v>
      </c>
      <c r="S53" s="32">
        <f>IF($B$22&gt;0,SUM($C$22:S22)/$B$22,0)</f>
        <v>0</v>
      </c>
      <c r="T53" s="32">
        <f>IF($B$22&gt;0,SUM($C$22:T22)/$B$22,0)</f>
        <v>0</v>
      </c>
      <c r="U53" s="32">
        <f>IF($B$22&gt;0,SUM($C$22:U22)/$B$22,0)</f>
        <v>0</v>
      </c>
      <c r="V53" s="32">
        <f>IF($B$22&gt;0,SUM($C$22:V22)/$B$22,0)</f>
        <v>0</v>
      </c>
      <c r="W53" s="32">
        <f>IF($B$22&gt;0,SUM($C$22:W22)/$B$22,0)</f>
        <v>0</v>
      </c>
      <c r="X53" s="32">
        <f>IF($B$22&gt;0,SUM($C$22:X22)/$B$22,0)</f>
        <v>0</v>
      </c>
      <c r="Y53" s="32">
        <f>IF($B$22&gt;0,SUM($C$22:Y22)/$B$22,0)</f>
        <v>0</v>
      </c>
      <c r="Z53" s="32">
        <f>IF($B$22&gt;0,SUM($C$22:Z22)/$B$22,0)</f>
        <v>0</v>
      </c>
      <c r="AA53" s="32">
        <f>IF($B$22&gt;0,SUM($C$22:AA22)/$B$22,0)</f>
        <v>0</v>
      </c>
      <c r="AB53" s="32">
        <f>IF($B$22&gt;0,SUM($C$22:AB22)/$B$22,0)</f>
        <v>0</v>
      </c>
      <c r="AC53" s="32">
        <f>IF($B$22&gt;0,SUM($C$22:AC22)/$B$22,0)</f>
        <v>0</v>
      </c>
      <c r="AD53" s="32">
        <f>IF($B$22&gt;0,SUM($C$22:AD22)/$B$22,0)</f>
        <v>0</v>
      </c>
      <c r="AE53" s="32">
        <f>IF($B$22&gt;0,SUM($C$22:AE22)/$B$22,0)</f>
        <v>0</v>
      </c>
      <c r="AF53" s="32">
        <f>IF($B$22&gt;0,SUM($C$22:AF22)/$B$22,0)</f>
        <v>0</v>
      </c>
      <c r="AG53" s="32">
        <f>IF($B$22&gt;0,SUM($C$22:AG22)/$B$22,0)</f>
        <v>0</v>
      </c>
      <c r="AH53" s="32">
        <f>IF($B$22&gt;0,SUM($C$22:AH22)/$B$22,0)</f>
        <v>0</v>
      </c>
      <c r="AI53" s="32">
        <f>IF($B$22&gt;0,SUM($C$22:AI22)/$B$22,0)</f>
        <v>0</v>
      </c>
      <c r="AJ53" s="32">
        <f>IF($B$22&gt;0,SUM($C$22:AJ22)/$B$22,0)</f>
        <v>0</v>
      </c>
      <c r="AK53" s="32">
        <f>IF($B$22&gt;0,SUM($C$22:AK22)/$B$22,0)</f>
        <v>0</v>
      </c>
      <c r="AL53" s="32">
        <f>IF($B$22&gt;0,SUM($C$22:AL22)/$B$22,0)</f>
        <v>0</v>
      </c>
      <c r="AM53" s="32">
        <f>IF($B$22&gt;0,SUM($C$22:AM22)/$B$22,0)</f>
        <v>0</v>
      </c>
      <c r="AN53" s="32">
        <f>IF($B$22&gt;0,SUM($C$22:AN22)/$B$22,0)</f>
        <v>0</v>
      </c>
      <c r="AO53" s="32">
        <f>IF($B$22&gt;0,SUM($C$22:AO22)/$B$22,0)</f>
        <v>0</v>
      </c>
      <c r="AP53" s="32">
        <f>IF($B$22&gt;0,SUM($C$22:AP22)/$B$22,0)</f>
        <v>0</v>
      </c>
      <c r="AQ53" s="32">
        <f>IF($B$22&gt;0,SUM($C$22:AQ22)/$B$22,0)</f>
        <v>0</v>
      </c>
      <c r="AR53" s="32">
        <f>IF($B$22&gt;0,SUM($C$22:AR22)/$B$22,0)</f>
        <v>0</v>
      </c>
      <c r="AS53" s="32">
        <f>IF($B$22&gt;0,SUM($C$22:AS22)/$B$22,0)</f>
        <v>0</v>
      </c>
      <c r="AT53" s="32">
        <f>IF($B$22&gt;0,SUM($C$22:AT22)/$B$22,0)</f>
        <v>0</v>
      </c>
      <c r="AU53" s="32">
        <f>IF($B$22&gt;0,SUM($C$22:AU22)/$B$22,0)</f>
        <v>0</v>
      </c>
      <c r="AV53" s="32">
        <f>IF($B$22&gt;0,SUM($C$22:AV22)/$B$22,0)</f>
        <v>0</v>
      </c>
      <c r="AW53" s="32">
        <f>IF($B$22&gt;0,SUM($C$22:AW22)/$B$22,0)</f>
        <v>0</v>
      </c>
      <c r="AX53" s="32">
        <f>IF($B$22&gt;0,SUM($C$22:AX22)/$B$22,0)</f>
        <v>0</v>
      </c>
      <c r="AY53" s="32">
        <f>IF($B$22&gt;0,SUM($C$22:AY22)/$B$22,0)</f>
        <v>0</v>
      </c>
      <c r="AZ53" s="32">
        <f>IF($B$22&gt;0,SUM($C$22:AZ22)/$B$22,0)</f>
        <v>0</v>
      </c>
      <c r="BA53" s="32">
        <f>IF($B$22&gt;0,SUM($C$22:BA22)/$B$22,0)</f>
        <v>0</v>
      </c>
      <c r="BB53" s="32">
        <f>IF($B$22&gt;0,SUM($C$22:BB22)/$B$22,0)</f>
        <v>0</v>
      </c>
      <c r="BC53" s="32">
        <f>IF($B$22&gt;0,SUM($C$22:BC22)/$B$22,0)</f>
        <v>0</v>
      </c>
      <c r="BD53" s="32">
        <f>IF($B$22&gt;0,SUM($C$22:BD22)/$B$22,0)</f>
        <v>0</v>
      </c>
      <c r="BE53" s="32">
        <f>IF($B$22&gt;0,SUM($C$22:BE22)/$B$22,0)</f>
        <v>0</v>
      </c>
      <c r="BF53" s="32">
        <f>IF($B$22&gt;0,SUM($C$22:BF22)/$B$22,0)</f>
        <v>0</v>
      </c>
      <c r="BG53" s="32">
        <f>IF($B$22&gt;0,SUM($C$22:BG22)/$B$22,0)</f>
        <v>0</v>
      </c>
      <c r="BH53" s="32">
        <f>IF($B$22&gt;0,SUM($C$22:BH22)/$B$22,0)</f>
        <v>0</v>
      </c>
      <c r="BI53" s="32">
        <f>IF($B$22&gt;0,SUM($C$22:BI22)/$B$22,0)</f>
        <v>0</v>
      </c>
      <c r="BJ53" s="32">
        <f>IF($B$22&gt;0,SUM($C$22:BJ22)/$B$22,0)</f>
        <v>0</v>
      </c>
    </row>
    <row r="54" spans="1:62" hidden="1" x14ac:dyDescent="0.3">
      <c r="A54" s="135" t="str">
        <f t="shared" si="2"/>
        <v xml:space="preserve">Depreciación del activo </v>
      </c>
      <c r="B54" s="136"/>
      <c r="C54" s="32">
        <f>IF($B$23&gt;0,SUM($C$23:C23)/$B$23,0)</f>
        <v>0</v>
      </c>
      <c r="D54" s="32">
        <f>IF($B$23&gt;0,SUM($C$23:D23)/$B$23,0)</f>
        <v>0</v>
      </c>
      <c r="E54" s="32">
        <f>IF($B$23&gt;0,SUM($C$23:E23)/$B$23,0)</f>
        <v>0</v>
      </c>
      <c r="F54" s="32">
        <f>IF($B$23&gt;0,SUM($C$23:F23)/$B$23,0)</f>
        <v>0</v>
      </c>
      <c r="G54" s="32">
        <f>IF($B$23&gt;0,SUM($C$23:G23)/$B$23,0)</f>
        <v>0</v>
      </c>
      <c r="H54" s="32">
        <f>IF($B$23&gt;0,SUM($C$23:H23)/$B$23,0)</f>
        <v>0</v>
      </c>
      <c r="I54" s="32">
        <f>IF($B$23&gt;0,SUM($C$23:I23)/$B$23,0)</f>
        <v>0</v>
      </c>
      <c r="J54" s="32">
        <f>IF($B$23&gt;0,SUM($C$23:J23)/$B$23,0)</f>
        <v>0</v>
      </c>
      <c r="K54" s="32">
        <f>IF($B$23&gt;0,SUM($C$23:K23)/$B$23,0)</f>
        <v>0</v>
      </c>
      <c r="L54" s="32">
        <f>IF($B$23&gt;0,SUM($C$23:L23)/$B$23,0)</f>
        <v>0</v>
      </c>
      <c r="M54" s="32">
        <f>IF($B$23&gt;0,SUM($C$23:M23)/$B$23,0)</f>
        <v>0</v>
      </c>
      <c r="N54" s="32">
        <f>IF($B$23&gt;0,SUM($C$23:N23)/$B$23,0)</f>
        <v>0</v>
      </c>
      <c r="O54" s="32">
        <f>IF($B$23&gt;0,SUM($C$23:O23)/$B$23,0)</f>
        <v>0</v>
      </c>
      <c r="P54" s="32">
        <f>IF($B$23&gt;0,SUM($C$23:P23)/$B$23,0)</f>
        <v>0</v>
      </c>
      <c r="Q54" s="32">
        <f>IF($B$23&gt;0,SUM($C$23:Q23)/$B$23,0)</f>
        <v>0</v>
      </c>
      <c r="R54" s="32">
        <f>IF($B$23&gt;0,SUM($C$23:R23)/$B$23,0)</f>
        <v>0</v>
      </c>
      <c r="S54" s="32">
        <f>IF($B$23&gt;0,SUM($C$23:S23)/$B$23,0)</f>
        <v>0</v>
      </c>
      <c r="T54" s="32">
        <f>IF($B$23&gt;0,SUM($C$23:T23)/$B$23,0)</f>
        <v>0</v>
      </c>
      <c r="U54" s="32">
        <f>IF($B$23&gt;0,SUM($C$23:U23)/$B$23,0)</f>
        <v>0</v>
      </c>
      <c r="V54" s="32">
        <f>IF($B$23&gt;0,SUM($C$23:V23)/$B$23,0)</f>
        <v>0</v>
      </c>
      <c r="W54" s="32">
        <f>IF($B$23&gt;0,SUM($C$23:W23)/$B$23,0)</f>
        <v>0</v>
      </c>
      <c r="X54" s="32">
        <f>IF($B$23&gt;0,SUM($C$23:X23)/$B$23,0)</f>
        <v>0</v>
      </c>
      <c r="Y54" s="32">
        <f>IF($B$23&gt;0,SUM($C$23:Y23)/$B$23,0)</f>
        <v>0</v>
      </c>
      <c r="Z54" s="32">
        <f>IF($B$23&gt;0,SUM($C$23:Z23)/$B$23,0)</f>
        <v>0</v>
      </c>
      <c r="AA54" s="32">
        <f>IF($B$23&gt;0,SUM($C$23:AA23)/$B$23,0)</f>
        <v>0</v>
      </c>
      <c r="AB54" s="32">
        <f>IF($B$23&gt;0,SUM($C$23:AB23)/$B$23,0)</f>
        <v>0</v>
      </c>
      <c r="AC54" s="32">
        <f>IF($B$23&gt;0,SUM($C$23:AC23)/$B$23,0)</f>
        <v>0</v>
      </c>
      <c r="AD54" s="32">
        <f>IF($B$23&gt;0,SUM($C$23:AD23)/$B$23,0)</f>
        <v>0</v>
      </c>
      <c r="AE54" s="32">
        <f>IF($B$23&gt;0,SUM($C$23:AE23)/$B$23,0)</f>
        <v>0</v>
      </c>
      <c r="AF54" s="32">
        <f>IF($B$23&gt;0,SUM($C$23:AF23)/$B$23,0)</f>
        <v>0</v>
      </c>
      <c r="AG54" s="32">
        <f>IF($B$23&gt;0,SUM($C$23:AG23)/$B$23,0)</f>
        <v>0</v>
      </c>
      <c r="AH54" s="32">
        <f>IF($B$23&gt;0,SUM($C$23:AH23)/$B$23,0)</f>
        <v>0</v>
      </c>
      <c r="AI54" s="32">
        <f>IF($B$23&gt;0,SUM($C$23:AI23)/$B$23,0)</f>
        <v>0</v>
      </c>
      <c r="AJ54" s="32">
        <f>IF($B$23&gt;0,SUM($C$23:AJ23)/$B$23,0)</f>
        <v>0</v>
      </c>
      <c r="AK54" s="32">
        <f>IF($B$23&gt;0,SUM($C$23:AK23)/$B$23,0)</f>
        <v>0</v>
      </c>
      <c r="AL54" s="32">
        <f>IF($B$23&gt;0,SUM($C$23:AL23)/$B$23,0)</f>
        <v>0</v>
      </c>
      <c r="AM54" s="32">
        <f>IF($B$23&gt;0,SUM($C$23:AM23)/$B$23,0)</f>
        <v>0</v>
      </c>
      <c r="AN54" s="32">
        <f>IF($B$23&gt;0,SUM($C$23:AN23)/$B$23,0)</f>
        <v>0</v>
      </c>
      <c r="AO54" s="32">
        <f>IF($B$23&gt;0,SUM($C$23:AO23)/$B$23,0)</f>
        <v>0</v>
      </c>
      <c r="AP54" s="32">
        <f>IF($B$23&gt;0,SUM($C$23:AP23)/$B$23,0)</f>
        <v>0</v>
      </c>
      <c r="AQ54" s="32">
        <f>IF($B$23&gt;0,SUM($C$23:AQ23)/$B$23,0)</f>
        <v>0</v>
      </c>
      <c r="AR54" s="32">
        <f>IF($B$23&gt;0,SUM($C$23:AR23)/$B$23,0)</f>
        <v>0</v>
      </c>
      <c r="AS54" s="32">
        <f>IF($B$23&gt;0,SUM($C$23:AS23)/$B$23,0)</f>
        <v>0</v>
      </c>
      <c r="AT54" s="32">
        <f>IF($B$23&gt;0,SUM($C$23:AT23)/$B$23,0)</f>
        <v>0</v>
      </c>
      <c r="AU54" s="32">
        <f>IF($B$23&gt;0,SUM($C$23:AU23)/$B$23,0)</f>
        <v>0</v>
      </c>
      <c r="AV54" s="32">
        <f>IF($B$23&gt;0,SUM($C$23:AV23)/$B$23,0)</f>
        <v>0</v>
      </c>
      <c r="AW54" s="32">
        <f>IF($B$23&gt;0,SUM($C$23:AW23)/$B$23,0)</f>
        <v>0</v>
      </c>
      <c r="AX54" s="32">
        <f>IF($B$23&gt;0,SUM($C$23:AX23)/$B$23,0)</f>
        <v>0</v>
      </c>
      <c r="AY54" s="32">
        <f>IF($B$23&gt;0,SUM($C$23:AY23)/$B$23,0)</f>
        <v>0</v>
      </c>
      <c r="AZ54" s="32">
        <f>IF($B$23&gt;0,SUM($C$23:AZ23)/$B$23,0)</f>
        <v>0</v>
      </c>
      <c r="BA54" s="32">
        <f>IF($B$23&gt;0,SUM($C$23:BA23)/$B$23,0)</f>
        <v>0</v>
      </c>
      <c r="BB54" s="32">
        <f>IF($B$23&gt;0,SUM($C$23:BB23)/$B$23,0)</f>
        <v>0</v>
      </c>
      <c r="BC54" s="32">
        <f>IF($B$23&gt;0,SUM($C$23:BC23)/$B$23,0)</f>
        <v>0</v>
      </c>
      <c r="BD54" s="32">
        <f>IF($B$23&gt;0,SUM($C$23:BD23)/$B$23,0)</f>
        <v>0</v>
      </c>
      <c r="BE54" s="32">
        <f>IF($B$23&gt;0,SUM($C$23:BE23)/$B$23,0)</f>
        <v>0</v>
      </c>
      <c r="BF54" s="32">
        <f>IF($B$23&gt;0,SUM($C$23:BF23)/$B$23,0)</f>
        <v>0</v>
      </c>
      <c r="BG54" s="32">
        <f>IF($B$23&gt;0,SUM($C$23:BG23)/$B$23,0)</f>
        <v>0</v>
      </c>
      <c r="BH54" s="32">
        <f>IF($B$23&gt;0,SUM($C$23:BH23)/$B$23,0)</f>
        <v>0</v>
      </c>
      <c r="BI54" s="32">
        <f>IF($B$23&gt;0,SUM($C$23:BI23)/$B$23,0)</f>
        <v>0</v>
      </c>
      <c r="BJ54" s="32">
        <f>IF($B$23&gt;0,SUM($C$23:BJ23)/$B$23,0)</f>
        <v>0</v>
      </c>
    </row>
    <row r="55" spans="1:62" hidden="1" x14ac:dyDescent="0.3">
      <c r="A55" s="135" t="str">
        <f t="shared" si="2"/>
        <v xml:space="preserve">Depreciación del activo </v>
      </c>
      <c r="B55" s="136"/>
      <c r="C55" s="32">
        <f>IF($B$24&gt;0,SUM($C$24:C24)/$B$24,0)</f>
        <v>0</v>
      </c>
      <c r="D55" s="32">
        <f>IF($B$24&gt;0,SUM($C$24:D24)/$B$24,0)</f>
        <v>0</v>
      </c>
      <c r="E55" s="32">
        <f>IF($B$24&gt;0,SUM($C$24:E24)/$B$24,0)</f>
        <v>0</v>
      </c>
      <c r="F55" s="32">
        <f>IF($B$24&gt;0,SUM($C$24:F24)/$B$24,0)</f>
        <v>0</v>
      </c>
      <c r="G55" s="32">
        <f>IF($B$24&gt;0,SUM($C$24:G24)/$B$24,0)</f>
        <v>0</v>
      </c>
      <c r="H55" s="32">
        <f>IF($B$24&gt;0,SUM($C$24:H24)/$B$24,0)</f>
        <v>0</v>
      </c>
      <c r="I55" s="32">
        <f>IF($B$24&gt;0,SUM($C$24:I24)/$B$24,0)</f>
        <v>0</v>
      </c>
      <c r="J55" s="32">
        <f>IF($B$24&gt;0,SUM($C$24:J24)/$B$24,0)</f>
        <v>0</v>
      </c>
      <c r="K55" s="32">
        <f>IF($B$24&gt;0,SUM($C$24:K24)/$B$24,0)</f>
        <v>0</v>
      </c>
      <c r="L55" s="32">
        <f>IF($B$24&gt;0,SUM($C$24:L24)/$B$24,0)</f>
        <v>0</v>
      </c>
      <c r="M55" s="32">
        <f>IF($B$24&gt;0,SUM($C$24:M24)/$B$24,0)</f>
        <v>0</v>
      </c>
      <c r="N55" s="32">
        <f>IF($B$24&gt;0,SUM($C$24:N24)/$B$24,0)</f>
        <v>0</v>
      </c>
      <c r="O55" s="32">
        <f>IF($B$24&gt;0,SUM($C$24:O24)/$B$24,0)</f>
        <v>0</v>
      </c>
      <c r="P55" s="32">
        <f>IF($B$24&gt;0,SUM($C$24:P24)/$B$24,0)</f>
        <v>0</v>
      </c>
      <c r="Q55" s="32">
        <f>IF($B$24&gt;0,SUM($C$24:Q24)/$B$24,0)</f>
        <v>0</v>
      </c>
      <c r="R55" s="32">
        <f>IF($B$24&gt;0,SUM($C$24:R24)/$B$24,0)</f>
        <v>0</v>
      </c>
      <c r="S55" s="32">
        <f>IF($B$24&gt;0,SUM($C$24:S24)/$B$24,0)</f>
        <v>0</v>
      </c>
      <c r="T55" s="32">
        <f>IF($B$24&gt;0,SUM($C$24:T24)/$B$24,0)</f>
        <v>0</v>
      </c>
      <c r="U55" s="32">
        <f>IF($B$24&gt;0,SUM($C$24:U24)/$B$24,0)</f>
        <v>0</v>
      </c>
      <c r="V55" s="32">
        <f>IF($B$24&gt;0,SUM($C$24:V24)/$B$24,0)</f>
        <v>0</v>
      </c>
      <c r="W55" s="32">
        <f>IF($B$24&gt;0,SUM($C$24:W24)/$B$24,0)</f>
        <v>0</v>
      </c>
      <c r="X55" s="32">
        <f>IF($B$24&gt;0,SUM($C$24:X24)/$B$24,0)</f>
        <v>0</v>
      </c>
      <c r="Y55" s="32">
        <f>IF($B$24&gt;0,SUM($C$24:Y24)/$B$24,0)</f>
        <v>0</v>
      </c>
      <c r="Z55" s="32">
        <f>IF($B$24&gt;0,SUM($C$24:Z24)/$B$24,0)</f>
        <v>0</v>
      </c>
      <c r="AA55" s="32">
        <f>IF($B$24&gt;0,SUM($C$24:AA24)/$B$24,0)</f>
        <v>0</v>
      </c>
      <c r="AB55" s="32">
        <f>IF($B$24&gt;0,SUM($C$24:AB24)/$B$24,0)</f>
        <v>0</v>
      </c>
      <c r="AC55" s="32">
        <f>IF($B$24&gt;0,SUM($C$24:AC24)/$B$24,0)</f>
        <v>0</v>
      </c>
      <c r="AD55" s="32">
        <f>IF($B$24&gt;0,SUM($C$24:AD24)/$B$24,0)</f>
        <v>0</v>
      </c>
      <c r="AE55" s="32">
        <f>IF($B$24&gt;0,SUM($C$24:AE24)/$B$24,0)</f>
        <v>0</v>
      </c>
      <c r="AF55" s="32">
        <f>IF($B$24&gt;0,SUM($C$24:AF24)/$B$24,0)</f>
        <v>0</v>
      </c>
      <c r="AG55" s="32">
        <f>IF($B$24&gt;0,SUM($C$24:AG24)/$B$24,0)</f>
        <v>0</v>
      </c>
      <c r="AH55" s="32">
        <f>IF($B$24&gt;0,SUM($C$24:AH24)/$B$24,0)</f>
        <v>0</v>
      </c>
      <c r="AI55" s="32">
        <f>IF($B$24&gt;0,SUM($C$24:AI24)/$B$24,0)</f>
        <v>0</v>
      </c>
      <c r="AJ55" s="32">
        <f>IF($B$24&gt;0,SUM($C$24:AJ24)/$B$24,0)</f>
        <v>0</v>
      </c>
      <c r="AK55" s="32">
        <f>IF($B$24&gt;0,SUM($C$24:AK24)/$B$24,0)</f>
        <v>0</v>
      </c>
      <c r="AL55" s="32">
        <f>IF($B$24&gt;0,SUM($C$24:AL24)/$B$24,0)</f>
        <v>0</v>
      </c>
      <c r="AM55" s="32">
        <f>IF($B$24&gt;0,SUM($C$24:AM24)/$B$24,0)</f>
        <v>0</v>
      </c>
      <c r="AN55" s="32">
        <f>IF($B$24&gt;0,SUM($C$24:AN24)/$B$24,0)</f>
        <v>0</v>
      </c>
      <c r="AO55" s="32">
        <f>IF($B$24&gt;0,SUM($C$24:AO24)/$B$24,0)</f>
        <v>0</v>
      </c>
      <c r="AP55" s="32">
        <f>IF($B$24&gt;0,SUM($C$24:AP24)/$B$24,0)</f>
        <v>0</v>
      </c>
      <c r="AQ55" s="32">
        <f>IF($B$24&gt;0,SUM($C$24:AQ24)/$B$24,0)</f>
        <v>0</v>
      </c>
      <c r="AR55" s="32">
        <f>IF($B$24&gt;0,SUM($C$24:AR24)/$B$24,0)</f>
        <v>0</v>
      </c>
      <c r="AS55" s="32">
        <f>IF($B$24&gt;0,SUM($C$24:AS24)/$B$24,0)</f>
        <v>0</v>
      </c>
      <c r="AT55" s="32">
        <f>IF($B$24&gt;0,SUM($C$24:AT24)/$B$24,0)</f>
        <v>0</v>
      </c>
      <c r="AU55" s="32">
        <f>IF($B$24&gt;0,SUM($C$24:AU24)/$B$24,0)</f>
        <v>0</v>
      </c>
      <c r="AV55" s="32">
        <f>IF($B$24&gt;0,SUM($C$24:AV24)/$B$24,0)</f>
        <v>0</v>
      </c>
      <c r="AW55" s="32">
        <f>IF($B$24&gt;0,SUM($C$24:AW24)/$B$24,0)</f>
        <v>0</v>
      </c>
      <c r="AX55" s="32">
        <f>IF($B$24&gt;0,SUM($C$24:AX24)/$B$24,0)</f>
        <v>0</v>
      </c>
      <c r="AY55" s="32">
        <f>IF($B$24&gt;0,SUM($C$24:AY24)/$B$24,0)</f>
        <v>0</v>
      </c>
      <c r="AZ55" s="32">
        <f>IF($B$24&gt;0,SUM($C$24:AZ24)/$B$24,0)</f>
        <v>0</v>
      </c>
      <c r="BA55" s="32">
        <f>IF($B$24&gt;0,SUM($C$24:BA24)/$B$24,0)</f>
        <v>0</v>
      </c>
      <c r="BB55" s="32">
        <f>IF($B$24&gt;0,SUM($C$24:BB24)/$B$24,0)</f>
        <v>0</v>
      </c>
      <c r="BC55" s="32">
        <f>IF($B$24&gt;0,SUM($C$24:BC24)/$B$24,0)</f>
        <v>0</v>
      </c>
      <c r="BD55" s="32">
        <f>IF($B$24&gt;0,SUM($C$24:BD24)/$B$24,0)</f>
        <v>0</v>
      </c>
      <c r="BE55" s="32">
        <f>IF($B$24&gt;0,SUM($C$24:BE24)/$B$24,0)</f>
        <v>0</v>
      </c>
      <c r="BF55" s="32">
        <f>IF($B$24&gt;0,SUM($C$24:BF24)/$B$24,0)</f>
        <v>0</v>
      </c>
      <c r="BG55" s="32">
        <f>IF($B$24&gt;0,SUM($C$24:BG24)/$B$24,0)</f>
        <v>0</v>
      </c>
      <c r="BH55" s="32">
        <f>IF($B$24&gt;0,SUM($C$24:BH24)/$B$24,0)</f>
        <v>0</v>
      </c>
      <c r="BI55" s="32">
        <f>IF($B$24&gt;0,SUM($C$24:BI24)/$B$24,0)</f>
        <v>0</v>
      </c>
      <c r="BJ55" s="32">
        <f>IF($B$24&gt;0,SUM($C$24:BJ24)/$B$24,0)</f>
        <v>0</v>
      </c>
    </row>
    <row r="56" spans="1:62" hidden="1" x14ac:dyDescent="0.3">
      <c r="A56" s="135" t="str">
        <f t="shared" si="2"/>
        <v xml:space="preserve">Depreciación del activo </v>
      </c>
      <c r="B56" s="136"/>
      <c r="C56" s="32">
        <f>IF($B$25&gt;0,SUM($C$25:C25)/$B$25,0)</f>
        <v>0</v>
      </c>
      <c r="D56" s="32">
        <f>IF($B$25&gt;0,SUM($C$25:D25)/$B$25,0)</f>
        <v>0</v>
      </c>
      <c r="E56" s="32">
        <f>IF($B$25&gt;0,SUM($C$25:E25)/$B$25,0)</f>
        <v>0</v>
      </c>
      <c r="F56" s="32">
        <f>IF($B$25&gt;0,SUM($C$25:F25)/$B$25,0)</f>
        <v>0</v>
      </c>
      <c r="G56" s="32">
        <f>IF($B$25&gt;0,SUM($C$25:G25)/$B$25,0)</f>
        <v>0</v>
      </c>
      <c r="H56" s="32">
        <f>IF($B$25&gt;0,SUM($C$25:H25)/$B$25,0)</f>
        <v>0</v>
      </c>
      <c r="I56" s="32">
        <f>IF($B$25&gt;0,SUM($C$25:I25)/$B$25,0)</f>
        <v>0</v>
      </c>
      <c r="J56" s="32">
        <f>IF($B$25&gt;0,SUM($C$25:J25)/$B$25,0)</f>
        <v>0</v>
      </c>
      <c r="K56" s="32">
        <f>IF($B$25&gt;0,SUM($C$25:K25)/$B$25,0)</f>
        <v>0</v>
      </c>
      <c r="L56" s="32">
        <f>IF($B$25&gt;0,SUM($C$25:L25)/$B$25,0)</f>
        <v>0</v>
      </c>
      <c r="M56" s="32">
        <f>IF($B$25&gt;0,SUM($C$25:M25)/$B$25,0)</f>
        <v>0</v>
      </c>
      <c r="N56" s="32">
        <f>IF($B$25&gt;0,SUM($C$25:N25)/$B$25,0)</f>
        <v>0</v>
      </c>
      <c r="O56" s="32">
        <f>IF($B$25&gt;0,SUM($C$25:O25)/$B$25,0)</f>
        <v>0</v>
      </c>
      <c r="P56" s="32">
        <f>IF($B$25&gt;0,SUM($C$25:P25)/$B$25,0)</f>
        <v>0</v>
      </c>
      <c r="Q56" s="32">
        <f>IF($B$25&gt;0,SUM($C$25:Q25)/$B$25,0)</f>
        <v>0</v>
      </c>
      <c r="R56" s="32">
        <f>IF($B$25&gt;0,SUM($C$25:R25)/$B$25,0)</f>
        <v>0</v>
      </c>
      <c r="S56" s="32">
        <f>IF($B$25&gt;0,SUM($C$25:S25)/$B$25,0)</f>
        <v>0</v>
      </c>
      <c r="T56" s="32">
        <f>IF($B$25&gt;0,SUM($C$25:T25)/$B$25,0)</f>
        <v>0</v>
      </c>
      <c r="U56" s="32">
        <f>IF($B$25&gt;0,SUM($C$25:U25)/$B$25,0)</f>
        <v>0</v>
      </c>
      <c r="V56" s="32">
        <f>IF($B$25&gt;0,SUM($C$25:V25)/$B$25,0)</f>
        <v>0</v>
      </c>
      <c r="W56" s="32">
        <f>IF($B$25&gt;0,SUM($C$25:W25)/$B$25,0)</f>
        <v>0</v>
      </c>
      <c r="X56" s="32">
        <f>IF($B$25&gt;0,SUM($C$25:X25)/$B$25,0)</f>
        <v>0</v>
      </c>
      <c r="Y56" s="32">
        <f>IF($B$25&gt;0,SUM($C$25:Y25)/$B$25,0)</f>
        <v>0</v>
      </c>
      <c r="Z56" s="32">
        <f>IF($B$25&gt;0,SUM($C$25:Z25)/$B$25,0)</f>
        <v>0</v>
      </c>
      <c r="AA56" s="32">
        <f>IF($B$25&gt;0,SUM($C$25:AA25)/$B$25,0)</f>
        <v>0</v>
      </c>
      <c r="AB56" s="32">
        <f>IF($B$25&gt;0,SUM($C$25:AB25)/$B$25,0)</f>
        <v>0</v>
      </c>
      <c r="AC56" s="32">
        <f>IF($B$25&gt;0,SUM($C$25:AC25)/$B$25,0)</f>
        <v>0</v>
      </c>
      <c r="AD56" s="32">
        <f>IF($B$25&gt;0,SUM($C$25:AD25)/$B$25,0)</f>
        <v>0</v>
      </c>
      <c r="AE56" s="32">
        <f>IF($B$25&gt;0,SUM($C$25:AE25)/$B$25,0)</f>
        <v>0</v>
      </c>
      <c r="AF56" s="32">
        <f>IF($B$25&gt;0,SUM($C$25:AF25)/$B$25,0)</f>
        <v>0</v>
      </c>
      <c r="AG56" s="32">
        <f>IF($B$25&gt;0,SUM($C$25:AG25)/$B$25,0)</f>
        <v>0</v>
      </c>
      <c r="AH56" s="32">
        <f>IF($B$25&gt;0,SUM($C$25:AH25)/$B$25,0)</f>
        <v>0</v>
      </c>
      <c r="AI56" s="32">
        <f>IF($B$25&gt;0,SUM($C$25:AI25)/$B$25,0)</f>
        <v>0</v>
      </c>
      <c r="AJ56" s="32">
        <f>IF($B$25&gt;0,SUM($C$25:AJ25)/$B$25,0)</f>
        <v>0</v>
      </c>
      <c r="AK56" s="32">
        <f>IF($B$25&gt;0,SUM($C$25:AK25)/$B$25,0)</f>
        <v>0</v>
      </c>
      <c r="AL56" s="32">
        <f>IF($B$25&gt;0,SUM($C$25:AL25)/$B$25,0)</f>
        <v>0</v>
      </c>
      <c r="AM56" s="32">
        <f>IF($B$25&gt;0,SUM($C$25:AM25)/$B$25,0)</f>
        <v>0</v>
      </c>
      <c r="AN56" s="32">
        <f>IF($B$25&gt;0,SUM($C$25:AN25)/$B$25,0)</f>
        <v>0</v>
      </c>
      <c r="AO56" s="32">
        <f>IF($B$25&gt;0,SUM($C$25:AO25)/$B$25,0)</f>
        <v>0</v>
      </c>
      <c r="AP56" s="32">
        <f>IF($B$25&gt;0,SUM($C$25:AP25)/$B$25,0)</f>
        <v>0</v>
      </c>
      <c r="AQ56" s="32">
        <f>IF($B$25&gt;0,SUM($C$25:AQ25)/$B$25,0)</f>
        <v>0</v>
      </c>
      <c r="AR56" s="32">
        <f>IF($B$25&gt;0,SUM($C$25:AR25)/$B$25,0)</f>
        <v>0</v>
      </c>
      <c r="AS56" s="32">
        <f>IF($B$25&gt;0,SUM($C$25:AS25)/$B$25,0)</f>
        <v>0</v>
      </c>
      <c r="AT56" s="32">
        <f>IF($B$25&gt;0,SUM($C$25:AT25)/$B$25,0)</f>
        <v>0</v>
      </c>
      <c r="AU56" s="32">
        <f>IF($B$25&gt;0,SUM($C$25:AU25)/$B$25,0)</f>
        <v>0</v>
      </c>
      <c r="AV56" s="32">
        <f>IF($B$25&gt;0,SUM($C$25:AV25)/$B$25,0)</f>
        <v>0</v>
      </c>
      <c r="AW56" s="32">
        <f>IF($B$25&gt;0,SUM($C$25:AW25)/$B$25,0)</f>
        <v>0</v>
      </c>
      <c r="AX56" s="32">
        <f>IF($B$25&gt;0,SUM($C$25:AX25)/$B$25,0)</f>
        <v>0</v>
      </c>
      <c r="AY56" s="32">
        <f>IF($B$25&gt;0,SUM($C$25:AY25)/$B$25,0)</f>
        <v>0</v>
      </c>
      <c r="AZ56" s="32">
        <f>IF($B$25&gt;0,SUM($C$25:AZ25)/$B$25,0)</f>
        <v>0</v>
      </c>
      <c r="BA56" s="32">
        <f>IF($B$25&gt;0,SUM($C$25:BA25)/$B$25,0)</f>
        <v>0</v>
      </c>
      <c r="BB56" s="32">
        <f>IF($B$25&gt;0,SUM($C$25:BB25)/$B$25,0)</f>
        <v>0</v>
      </c>
      <c r="BC56" s="32">
        <f>IF($B$25&gt;0,SUM($C$25:BC25)/$B$25,0)</f>
        <v>0</v>
      </c>
      <c r="BD56" s="32">
        <f>IF($B$25&gt;0,SUM($C$25:BD25)/$B$25,0)</f>
        <v>0</v>
      </c>
      <c r="BE56" s="32">
        <f>IF($B$25&gt;0,SUM($C$25:BE25)/$B$25,0)</f>
        <v>0</v>
      </c>
      <c r="BF56" s="32">
        <f>IF($B$25&gt;0,SUM($C$25:BF25)/$B$25,0)</f>
        <v>0</v>
      </c>
      <c r="BG56" s="32">
        <f>IF($B$25&gt;0,SUM($C$25:BG25)/$B$25,0)</f>
        <v>0</v>
      </c>
      <c r="BH56" s="32">
        <f>IF($B$25&gt;0,SUM($C$25:BH25)/$B$25,0)</f>
        <v>0</v>
      </c>
      <c r="BI56" s="32">
        <f>IF($B$25&gt;0,SUM($C$25:BI25)/$B$25,0)</f>
        <v>0</v>
      </c>
      <c r="BJ56" s="32">
        <f>IF($B$25&gt;0,SUM($C$25:BJ25)/$B$25,0)</f>
        <v>0</v>
      </c>
    </row>
    <row r="57" spans="1:62" hidden="1" x14ac:dyDescent="0.3">
      <c r="A57" s="135" t="str">
        <f t="shared" si="2"/>
        <v xml:space="preserve">Depreciación del activo </v>
      </c>
      <c r="B57" s="136"/>
      <c r="C57" s="32">
        <f>IF($B$26&gt;0,SUM($C$26:C26)/$B$26,0)</f>
        <v>0</v>
      </c>
      <c r="D57" s="32">
        <f>IF($B$26&gt;0,SUM($C$26:D26)/$B$26,0)</f>
        <v>0</v>
      </c>
      <c r="E57" s="32">
        <f>IF($B$26&gt;0,SUM($C$26:E26)/$B$26,0)</f>
        <v>0</v>
      </c>
      <c r="F57" s="32">
        <f>IF($B$26&gt;0,SUM($C$26:F26)/$B$26,0)</f>
        <v>0</v>
      </c>
      <c r="G57" s="32">
        <f>IF($B$26&gt;0,SUM($C$26:G26)/$B$26,0)</f>
        <v>0</v>
      </c>
      <c r="H57" s="32">
        <f>IF($B$26&gt;0,SUM($C$26:H26)/$B$26,0)</f>
        <v>0</v>
      </c>
      <c r="I57" s="32">
        <f>IF($B$26&gt;0,SUM($C$26:I26)/$B$26,0)</f>
        <v>0</v>
      </c>
      <c r="J57" s="32">
        <f>IF($B$26&gt;0,SUM($C$26:J26)/$B$26,0)</f>
        <v>0</v>
      </c>
      <c r="K57" s="32">
        <f>IF($B$26&gt;0,SUM($C$26:K26)/$B$26,0)</f>
        <v>0</v>
      </c>
      <c r="L57" s="32">
        <f>IF($B$26&gt;0,SUM($C$26:L26)/$B$26,0)</f>
        <v>0</v>
      </c>
      <c r="M57" s="32">
        <f>IF($B$26&gt;0,SUM($C$26:M26)/$B$26,0)</f>
        <v>0</v>
      </c>
      <c r="N57" s="32">
        <f>IF($B$26&gt;0,SUM($C$26:N26)/$B$26,0)</f>
        <v>0</v>
      </c>
      <c r="O57" s="32">
        <f>IF($B$26&gt;0,SUM($C$26:O26)/$B$26,0)</f>
        <v>0</v>
      </c>
      <c r="P57" s="32">
        <f>IF($B$26&gt;0,SUM($C$26:P26)/$B$26,0)</f>
        <v>0</v>
      </c>
      <c r="Q57" s="32">
        <f>IF($B$26&gt;0,SUM($C$26:Q26)/$B$26,0)</f>
        <v>0</v>
      </c>
      <c r="R57" s="32">
        <f>IF($B$26&gt;0,SUM($C$26:R26)/$B$26,0)</f>
        <v>0</v>
      </c>
      <c r="S57" s="32">
        <f>IF($B$26&gt;0,SUM($C$26:S26)/$B$26,0)</f>
        <v>0</v>
      </c>
      <c r="T57" s="32">
        <f>IF($B$26&gt;0,SUM($C$26:T26)/$B$26,0)</f>
        <v>0</v>
      </c>
      <c r="U57" s="32">
        <f>IF($B$26&gt;0,SUM($C$26:U26)/$B$26,0)</f>
        <v>0</v>
      </c>
      <c r="V57" s="32">
        <f>IF($B$26&gt;0,SUM($C$26:V26)/$B$26,0)</f>
        <v>0</v>
      </c>
      <c r="W57" s="32">
        <f>IF($B$26&gt;0,SUM($C$26:W26)/$B$26,0)</f>
        <v>0</v>
      </c>
      <c r="X57" s="32">
        <f>IF($B$26&gt;0,SUM($C$26:X26)/$B$26,0)</f>
        <v>0</v>
      </c>
      <c r="Y57" s="32">
        <f>IF($B$26&gt;0,SUM($C$26:Y26)/$B$26,0)</f>
        <v>0</v>
      </c>
      <c r="Z57" s="32">
        <f>IF($B$26&gt;0,SUM($C$26:Z26)/$B$26,0)</f>
        <v>0</v>
      </c>
      <c r="AA57" s="32">
        <f>IF($B$26&gt;0,SUM($C$26:AA26)/$B$26,0)</f>
        <v>0</v>
      </c>
      <c r="AB57" s="32">
        <f>IF($B$26&gt;0,SUM($C$26:AB26)/$B$26,0)</f>
        <v>0</v>
      </c>
      <c r="AC57" s="32">
        <f>IF($B$26&gt;0,SUM($C$26:AC26)/$B$26,0)</f>
        <v>0</v>
      </c>
      <c r="AD57" s="32">
        <f>IF($B$26&gt;0,SUM($C$26:AD26)/$B$26,0)</f>
        <v>0</v>
      </c>
      <c r="AE57" s="32">
        <f>IF($B$26&gt;0,SUM($C$26:AE26)/$B$26,0)</f>
        <v>0</v>
      </c>
      <c r="AF57" s="32">
        <f>IF($B$26&gt;0,SUM($C$26:AF26)/$B$26,0)</f>
        <v>0</v>
      </c>
      <c r="AG57" s="32">
        <f>IF($B$26&gt;0,SUM($C$26:AG26)/$B$26,0)</f>
        <v>0</v>
      </c>
      <c r="AH57" s="32">
        <f>IF($B$26&gt;0,SUM($C$26:AH26)/$B$26,0)</f>
        <v>0</v>
      </c>
      <c r="AI57" s="32">
        <f>IF($B$26&gt;0,SUM($C$26:AI26)/$B$26,0)</f>
        <v>0</v>
      </c>
      <c r="AJ57" s="32">
        <f>IF($B$26&gt;0,SUM($C$26:AJ26)/$B$26,0)</f>
        <v>0</v>
      </c>
      <c r="AK57" s="32">
        <f>IF($B$26&gt;0,SUM($C$26:AK26)/$B$26,0)</f>
        <v>0</v>
      </c>
      <c r="AL57" s="32">
        <f>IF($B$26&gt;0,SUM($C$26:AL26)/$B$26,0)</f>
        <v>0</v>
      </c>
      <c r="AM57" s="32">
        <f>IF($B$26&gt;0,SUM($C$26:AM26)/$B$26,0)</f>
        <v>0</v>
      </c>
      <c r="AN57" s="32">
        <f>IF($B$26&gt;0,SUM($C$26:AN26)/$B$26,0)</f>
        <v>0</v>
      </c>
      <c r="AO57" s="32">
        <f>IF($B$26&gt;0,SUM($C$26:AO26)/$B$26,0)</f>
        <v>0</v>
      </c>
      <c r="AP57" s="32">
        <f>IF($B$26&gt;0,SUM($C$26:AP26)/$B$26,0)</f>
        <v>0</v>
      </c>
      <c r="AQ57" s="32">
        <f>IF($B$26&gt;0,SUM($C$26:AQ26)/$B$26,0)</f>
        <v>0</v>
      </c>
      <c r="AR57" s="32">
        <f>IF($B$26&gt;0,SUM($C$26:AR26)/$B$26,0)</f>
        <v>0</v>
      </c>
      <c r="AS57" s="32">
        <f>IF($B$26&gt;0,SUM($C$26:AS26)/$B$26,0)</f>
        <v>0</v>
      </c>
      <c r="AT57" s="32">
        <f>IF($B$26&gt;0,SUM($C$26:AT26)/$B$26,0)</f>
        <v>0</v>
      </c>
      <c r="AU57" s="32">
        <f>IF($B$26&gt;0,SUM($C$26:AU26)/$B$26,0)</f>
        <v>0</v>
      </c>
      <c r="AV57" s="32">
        <f>IF($B$26&gt;0,SUM($C$26:AV26)/$B$26,0)</f>
        <v>0</v>
      </c>
      <c r="AW57" s="32">
        <f>IF($B$26&gt;0,SUM($C$26:AW26)/$B$26,0)</f>
        <v>0</v>
      </c>
      <c r="AX57" s="32">
        <f>IF($B$26&gt;0,SUM($C$26:AX26)/$B$26,0)</f>
        <v>0</v>
      </c>
      <c r="AY57" s="32">
        <f>IF($B$26&gt;0,SUM($C$26:AY26)/$B$26,0)</f>
        <v>0</v>
      </c>
      <c r="AZ57" s="32">
        <f>IF($B$26&gt;0,SUM($C$26:AZ26)/$B$26,0)</f>
        <v>0</v>
      </c>
      <c r="BA57" s="32">
        <f>IF($B$26&gt;0,SUM($C$26:BA26)/$B$26,0)</f>
        <v>0</v>
      </c>
      <c r="BB57" s="32">
        <f>IF($B$26&gt;0,SUM($C$26:BB26)/$B$26,0)</f>
        <v>0</v>
      </c>
      <c r="BC57" s="32">
        <f>IF($B$26&gt;0,SUM($C$26:BC26)/$B$26,0)</f>
        <v>0</v>
      </c>
      <c r="BD57" s="32">
        <f>IF($B$26&gt;0,SUM($C$26:BD26)/$B$26,0)</f>
        <v>0</v>
      </c>
      <c r="BE57" s="32">
        <f>IF($B$26&gt;0,SUM($C$26:BE26)/$B$26,0)</f>
        <v>0</v>
      </c>
      <c r="BF57" s="32">
        <f>IF($B$26&gt;0,SUM($C$26:BF26)/$B$26,0)</f>
        <v>0</v>
      </c>
      <c r="BG57" s="32">
        <f>IF($B$26&gt;0,SUM($C$26:BG26)/$B$26,0)</f>
        <v>0</v>
      </c>
      <c r="BH57" s="32">
        <f>IF($B$26&gt;0,SUM($C$26:BH26)/$B$26,0)</f>
        <v>0</v>
      </c>
      <c r="BI57" s="32">
        <f>IF($B$26&gt;0,SUM($C$26:BI26)/$B$26,0)</f>
        <v>0</v>
      </c>
      <c r="BJ57" s="32">
        <f>IF($B$26&gt;0,SUM($C$26:BJ26)/$B$26,0)</f>
        <v>0</v>
      </c>
    </row>
    <row r="58" spans="1:62" hidden="1" x14ac:dyDescent="0.3">
      <c r="A58" s="135" t="str">
        <f t="shared" si="2"/>
        <v xml:space="preserve">Depreciación del activo </v>
      </c>
      <c r="B58" s="136"/>
      <c r="C58" s="32">
        <f>IF($B$27&gt;0,SUM($C$27:C27)/$B$27,0)</f>
        <v>0</v>
      </c>
      <c r="D58" s="32">
        <f>IF($B$27&gt;0,SUM($C$27:D27)/$B$27,0)</f>
        <v>0</v>
      </c>
      <c r="E58" s="32">
        <f>IF($B$27&gt;0,SUM($C$27:E27)/$B$27,0)</f>
        <v>0</v>
      </c>
      <c r="F58" s="32">
        <f>IF($B$27&gt;0,SUM($C$27:F27)/$B$27,0)</f>
        <v>0</v>
      </c>
      <c r="G58" s="32">
        <f>IF($B$27&gt;0,SUM($C$27:G27)/$B$27,0)</f>
        <v>0</v>
      </c>
      <c r="H58" s="32">
        <f>IF($B$27&gt;0,SUM($C$27:H27)/$B$27,0)</f>
        <v>0</v>
      </c>
      <c r="I58" s="32">
        <f>IF($B$27&gt;0,SUM($C$27:I27)/$B$27,0)</f>
        <v>0</v>
      </c>
      <c r="J58" s="32">
        <f>IF($B$27&gt;0,SUM($C$27:J27)/$B$27,0)</f>
        <v>0</v>
      </c>
      <c r="K58" s="32">
        <f>IF($B$27&gt;0,SUM($C$27:K27)/$B$27,0)</f>
        <v>0</v>
      </c>
      <c r="L58" s="32">
        <f>IF($B$27&gt;0,SUM($C$27:L27)/$B$27,0)</f>
        <v>0</v>
      </c>
      <c r="M58" s="32">
        <f>IF($B$27&gt;0,SUM($C$27:M27)/$B$27,0)</f>
        <v>0</v>
      </c>
      <c r="N58" s="32">
        <f>IF($B$27&gt;0,SUM($C$27:N27)/$B$27,0)</f>
        <v>0</v>
      </c>
      <c r="O58" s="32">
        <f>IF($B$27&gt;0,SUM($C$27:O27)/$B$27,0)</f>
        <v>0</v>
      </c>
      <c r="P58" s="32">
        <f>IF($B$27&gt;0,SUM($C$27:P27)/$B$27,0)</f>
        <v>0</v>
      </c>
      <c r="Q58" s="32">
        <f>IF($B$27&gt;0,SUM($C$27:Q27)/$B$27,0)</f>
        <v>0</v>
      </c>
      <c r="R58" s="32">
        <f>IF($B$27&gt;0,SUM($C$27:R27)/$B$27,0)</f>
        <v>0</v>
      </c>
      <c r="S58" s="32">
        <f>IF($B$27&gt;0,SUM($C$27:S27)/$B$27,0)</f>
        <v>0</v>
      </c>
      <c r="T58" s="32">
        <f>IF($B$27&gt;0,SUM($C$27:T27)/$B$27,0)</f>
        <v>0</v>
      </c>
      <c r="U58" s="32">
        <f>IF($B$27&gt;0,SUM($C$27:U27)/$B$27,0)</f>
        <v>0</v>
      </c>
      <c r="V58" s="32">
        <f>IF($B$27&gt;0,SUM($C$27:V27)/$B$27,0)</f>
        <v>0</v>
      </c>
      <c r="W58" s="32">
        <f>IF($B$27&gt;0,SUM($C$27:W27)/$B$27,0)</f>
        <v>0</v>
      </c>
      <c r="X58" s="32">
        <f>IF($B$27&gt;0,SUM($C$27:X27)/$B$27,0)</f>
        <v>0</v>
      </c>
      <c r="Y58" s="32">
        <f>IF($B$27&gt;0,SUM($C$27:Y27)/$B$27,0)</f>
        <v>0</v>
      </c>
      <c r="Z58" s="32">
        <f>IF($B$27&gt;0,SUM($C$27:Z27)/$B$27,0)</f>
        <v>0</v>
      </c>
      <c r="AA58" s="32">
        <f>IF($B$27&gt;0,SUM($C$27:AA27)/$B$27,0)</f>
        <v>0</v>
      </c>
      <c r="AB58" s="32">
        <f>IF($B$27&gt;0,SUM($C$27:AB27)/$B$27,0)</f>
        <v>0</v>
      </c>
      <c r="AC58" s="32">
        <f>IF($B$27&gt;0,SUM($C$27:AC27)/$B$27,0)</f>
        <v>0</v>
      </c>
      <c r="AD58" s="32">
        <f>IF($B$27&gt;0,SUM($C$27:AD27)/$B$27,0)</f>
        <v>0</v>
      </c>
      <c r="AE58" s="32">
        <f>IF($B$27&gt;0,SUM($C$27:AE27)/$B$27,0)</f>
        <v>0</v>
      </c>
      <c r="AF58" s="32">
        <f>IF($B$27&gt;0,SUM($C$27:AF27)/$B$27,0)</f>
        <v>0</v>
      </c>
      <c r="AG58" s="32">
        <f>IF($B$27&gt;0,SUM($C$27:AG27)/$B$27,0)</f>
        <v>0</v>
      </c>
      <c r="AH58" s="32">
        <f>IF($B$27&gt;0,SUM($C$27:AH27)/$B$27,0)</f>
        <v>0</v>
      </c>
      <c r="AI58" s="32">
        <f>IF($B$27&gt;0,SUM($C$27:AI27)/$B$27,0)</f>
        <v>0</v>
      </c>
      <c r="AJ58" s="32">
        <f>IF($B$27&gt;0,SUM($C$27:AJ27)/$B$27,0)</f>
        <v>0</v>
      </c>
      <c r="AK58" s="32">
        <f>IF($B$27&gt;0,SUM($C$27:AK27)/$B$27,0)</f>
        <v>0</v>
      </c>
      <c r="AL58" s="32">
        <f>IF($B$27&gt;0,SUM($C$27:AL27)/$B$27,0)</f>
        <v>0</v>
      </c>
      <c r="AM58" s="32">
        <f>IF($B$27&gt;0,SUM($C$27:AM27)/$B$27,0)</f>
        <v>0</v>
      </c>
      <c r="AN58" s="32">
        <f>IF($B$27&gt;0,SUM($C$27:AN27)/$B$27,0)</f>
        <v>0</v>
      </c>
      <c r="AO58" s="32">
        <f>IF($B$27&gt;0,SUM($C$27:AO27)/$B$27,0)</f>
        <v>0</v>
      </c>
      <c r="AP58" s="32">
        <f>IF($B$27&gt;0,SUM($C$27:AP27)/$B$27,0)</f>
        <v>0</v>
      </c>
      <c r="AQ58" s="32">
        <f>IF($B$27&gt;0,SUM($C$27:AQ27)/$B$27,0)</f>
        <v>0</v>
      </c>
      <c r="AR58" s="32">
        <f>IF($B$27&gt;0,SUM($C$27:AR27)/$B$27,0)</f>
        <v>0</v>
      </c>
      <c r="AS58" s="32">
        <f>IF($B$27&gt;0,SUM($C$27:AS27)/$B$27,0)</f>
        <v>0</v>
      </c>
      <c r="AT58" s="32">
        <f>IF($B$27&gt;0,SUM($C$27:AT27)/$B$27,0)</f>
        <v>0</v>
      </c>
      <c r="AU58" s="32">
        <f>IF($B$27&gt;0,SUM($C$27:AU27)/$B$27,0)</f>
        <v>0</v>
      </c>
      <c r="AV58" s="32">
        <f>IF($B$27&gt;0,SUM($C$27:AV27)/$B$27,0)</f>
        <v>0</v>
      </c>
      <c r="AW58" s="32">
        <f>IF($B$27&gt;0,SUM($C$27:AW27)/$B$27,0)</f>
        <v>0</v>
      </c>
      <c r="AX58" s="32">
        <f>IF($B$27&gt;0,SUM($C$27:AX27)/$B$27,0)</f>
        <v>0</v>
      </c>
      <c r="AY58" s="32">
        <f>IF($B$27&gt;0,SUM($C$27:AY27)/$B$27,0)</f>
        <v>0</v>
      </c>
      <c r="AZ58" s="32">
        <f>IF($B$27&gt;0,SUM($C$27:AZ27)/$B$27,0)</f>
        <v>0</v>
      </c>
      <c r="BA58" s="32">
        <f>IF($B$27&gt;0,SUM($C$27:BA27)/$B$27,0)</f>
        <v>0</v>
      </c>
      <c r="BB58" s="32">
        <f>IF($B$27&gt;0,SUM($C$27:BB27)/$B$27,0)</f>
        <v>0</v>
      </c>
      <c r="BC58" s="32">
        <f>IF($B$27&gt;0,SUM($C$27:BC27)/$B$27,0)</f>
        <v>0</v>
      </c>
      <c r="BD58" s="32">
        <f>IF($B$27&gt;0,SUM($C$27:BD27)/$B$27,0)</f>
        <v>0</v>
      </c>
      <c r="BE58" s="32">
        <f>IF($B$27&gt;0,SUM($C$27:BE27)/$B$27,0)</f>
        <v>0</v>
      </c>
      <c r="BF58" s="32">
        <f>IF($B$27&gt;0,SUM($C$27:BF27)/$B$27,0)</f>
        <v>0</v>
      </c>
      <c r="BG58" s="32">
        <f>IF($B$27&gt;0,SUM($C$27:BG27)/$B$27,0)</f>
        <v>0</v>
      </c>
      <c r="BH58" s="32">
        <f>IF($B$27&gt;0,SUM($C$27:BH27)/$B$27,0)</f>
        <v>0</v>
      </c>
      <c r="BI58" s="32">
        <f>IF($B$27&gt;0,SUM($C$27:BI27)/$B$27,0)</f>
        <v>0</v>
      </c>
      <c r="BJ58" s="32">
        <f>IF($B$27&gt;0,SUM($C$27:BJ27)/$B$27,0)</f>
        <v>0</v>
      </c>
    </row>
    <row r="59" spans="1:62" hidden="1" x14ac:dyDescent="0.3">
      <c r="A59" s="135" t="str">
        <f t="shared" si="2"/>
        <v xml:space="preserve">Depreciación del activo </v>
      </c>
      <c r="B59" s="136"/>
      <c r="C59" s="32">
        <f>IF($B$28&gt;0,SUM($C$28:C28)/$B$28,0)</f>
        <v>0</v>
      </c>
      <c r="D59" s="32">
        <f>IF($B$28&gt;0,SUM($C$28:D28)/$B$28,0)</f>
        <v>0</v>
      </c>
      <c r="E59" s="32">
        <f>IF($B$28&gt;0,SUM($C$28:E28)/$B$28,0)</f>
        <v>0</v>
      </c>
      <c r="F59" s="32">
        <f>IF($B$28&gt;0,SUM($C$28:F28)/$B$28,0)</f>
        <v>0</v>
      </c>
      <c r="G59" s="32">
        <f>IF($B$28&gt;0,SUM($C$28:G28)/$B$28,0)</f>
        <v>0</v>
      </c>
      <c r="H59" s="32">
        <f>IF($B$28&gt;0,SUM($C$28:H28)/$B$28,0)</f>
        <v>0</v>
      </c>
      <c r="I59" s="32">
        <f>IF($B$28&gt;0,SUM($C$28:I28)/$B$28,0)</f>
        <v>0</v>
      </c>
      <c r="J59" s="32">
        <f>IF($B$28&gt;0,SUM($C$28:J28)/$B$28,0)</f>
        <v>0</v>
      </c>
      <c r="K59" s="32">
        <f>IF($B$28&gt;0,SUM($C$28:K28)/$B$28,0)</f>
        <v>0</v>
      </c>
      <c r="L59" s="32">
        <f>IF($B$28&gt;0,SUM($C$28:L28)/$B$28,0)</f>
        <v>0</v>
      </c>
      <c r="M59" s="32">
        <f>IF($B$28&gt;0,SUM($C$28:M28)/$B$28,0)</f>
        <v>0</v>
      </c>
      <c r="N59" s="32">
        <f>IF($B$28&gt;0,SUM($C$28:N28)/$B$28,0)</f>
        <v>0</v>
      </c>
      <c r="O59" s="32">
        <f>IF($B$28&gt;0,SUM($C$28:O28)/$B$28,0)</f>
        <v>0</v>
      </c>
      <c r="P59" s="32">
        <f>IF($B$28&gt;0,SUM($C$28:P28)/$B$28,0)</f>
        <v>0</v>
      </c>
      <c r="Q59" s="32">
        <f>IF($B$28&gt;0,SUM($C$28:Q28)/$B$28,0)</f>
        <v>0</v>
      </c>
      <c r="R59" s="32">
        <f>IF($B$28&gt;0,SUM($C$28:R28)/$B$28,0)</f>
        <v>0</v>
      </c>
      <c r="S59" s="32">
        <f>IF($B$28&gt;0,SUM($C$28:S28)/$B$28,0)</f>
        <v>0</v>
      </c>
      <c r="T59" s="32">
        <f>IF($B$28&gt;0,SUM($C$28:T28)/$B$28,0)</f>
        <v>0</v>
      </c>
      <c r="U59" s="32">
        <f>IF($B$28&gt;0,SUM($C$28:U28)/$B$28,0)</f>
        <v>0</v>
      </c>
      <c r="V59" s="32">
        <f>IF($B$28&gt;0,SUM($C$28:V28)/$B$28,0)</f>
        <v>0</v>
      </c>
      <c r="W59" s="32">
        <f>IF($B$28&gt;0,SUM($C$28:W28)/$B$28,0)</f>
        <v>0</v>
      </c>
      <c r="X59" s="32">
        <f>IF($B$28&gt;0,SUM($C$28:X28)/$B$28,0)</f>
        <v>0</v>
      </c>
      <c r="Y59" s="32">
        <f>IF($B$28&gt;0,SUM($C$28:Y28)/$B$28,0)</f>
        <v>0</v>
      </c>
      <c r="Z59" s="32">
        <f>IF($B$28&gt;0,SUM($C$28:Z28)/$B$28,0)</f>
        <v>0</v>
      </c>
      <c r="AA59" s="32">
        <f>IF($B$28&gt;0,SUM($C$28:AA28)/$B$28,0)</f>
        <v>0</v>
      </c>
      <c r="AB59" s="32">
        <f>IF($B$28&gt;0,SUM($C$28:AB28)/$B$28,0)</f>
        <v>0</v>
      </c>
      <c r="AC59" s="32">
        <f>IF($B$28&gt;0,SUM($C$28:AC28)/$B$28,0)</f>
        <v>0</v>
      </c>
      <c r="AD59" s="32">
        <f>IF($B$28&gt;0,SUM($C$28:AD28)/$B$28,0)</f>
        <v>0</v>
      </c>
      <c r="AE59" s="32">
        <f>IF($B$28&gt;0,SUM($C$28:AE28)/$B$28,0)</f>
        <v>0</v>
      </c>
      <c r="AF59" s="32">
        <f>IF($B$28&gt;0,SUM($C$28:AF28)/$B$28,0)</f>
        <v>0</v>
      </c>
      <c r="AG59" s="32">
        <f>IF($B$28&gt;0,SUM($C$28:AG28)/$B$28,0)</f>
        <v>0</v>
      </c>
      <c r="AH59" s="32">
        <f>IF($B$28&gt;0,SUM($C$28:AH28)/$B$28,0)</f>
        <v>0</v>
      </c>
      <c r="AI59" s="32">
        <f>IF($B$28&gt;0,SUM($C$28:AI28)/$B$28,0)</f>
        <v>0</v>
      </c>
      <c r="AJ59" s="32">
        <f>IF($B$28&gt;0,SUM($C$28:AJ28)/$B$28,0)</f>
        <v>0</v>
      </c>
      <c r="AK59" s="32">
        <f>IF($B$28&gt;0,SUM($C$28:AK28)/$B$28,0)</f>
        <v>0</v>
      </c>
      <c r="AL59" s="32">
        <f>IF($B$28&gt;0,SUM($C$28:AL28)/$B$28,0)</f>
        <v>0</v>
      </c>
      <c r="AM59" s="32">
        <f>IF($B$28&gt;0,SUM($C$28:AM28)/$B$28,0)</f>
        <v>0</v>
      </c>
      <c r="AN59" s="32">
        <f>IF($B$28&gt;0,SUM($C$28:AN28)/$B$28,0)</f>
        <v>0</v>
      </c>
      <c r="AO59" s="32">
        <f>IF($B$28&gt;0,SUM($C$28:AO28)/$B$28,0)</f>
        <v>0</v>
      </c>
      <c r="AP59" s="32">
        <f>IF($B$28&gt;0,SUM($C$28:AP28)/$B$28,0)</f>
        <v>0</v>
      </c>
      <c r="AQ59" s="32">
        <f>IF($B$28&gt;0,SUM($C$28:AQ28)/$B$28,0)</f>
        <v>0</v>
      </c>
      <c r="AR59" s="32">
        <f>IF($B$28&gt;0,SUM($C$28:AR28)/$B$28,0)</f>
        <v>0</v>
      </c>
      <c r="AS59" s="32">
        <f>IF($B$28&gt;0,SUM($C$28:AS28)/$B$28,0)</f>
        <v>0</v>
      </c>
      <c r="AT59" s="32">
        <f>IF($B$28&gt;0,SUM($C$28:AT28)/$B$28,0)</f>
        <v>0</v>
      </c>
      <c r="AU59" s="32">
        <f>IF($B$28&gt;0,SUM($C$28:AU28)/$B$28,0)</f>
        <v>0</v>
      </c>
      <c r="AV59" s="32">
        <f>IF($B$28&gt;0,SUM($C$28:AV28)/$B$28,0)</f>
        <v>0</v>
      </c>
      <c r="AW59" s="32">
        <f>IF($B$28&gt;0,SUM($C$28:AW28)/$B$28,0)</f>
        <v>0</v>
      </c>
      <c r="AX59" s="32">
        <f>IF($B$28&gt;0,SUM($C$28:AX28)/$B$28,0)</f>
        <v>0</v>
      </c>
      <c r="AY59" s="32">
        <f>IF($B$28&gt;0,SUM($C$28:AY28)/$B$28,0)</f>
        <v>0</v>
      </c>
      <c r="AZ59" s="32">
        <f>IF($B$28&gt;0,SUM($C$28:AZ28)/$B$28,0)</f>
        <v>0</v>
      </c>
      <c r="BA59" s="32">
        <f>IF($B$28&gt;0,SUM($C$28:BA28)/$B$28,0)</f>
        <v>0</v>
      </c>
      <c r="BB59" s="32">
        <f>IF($B$28&gt;0,SUM($C$28:BB28)/$B$28,0)</f>
        <v>0</v>
      </c>
      <c r="BC59" s="32">
        <f>IF($B$28&gt;0,SUM($C$28:BC28)/$B$28,0)</f>
        <v>0</v>
      </c>
      <c r="BD59" s="32">
        <f>IF($B$28&gt;0,SUM($C$28:BD28)/$B$28,0)</f>
        <v>0</v>
      </c>
      <c r="BE59" s="32">
        <f>IF($B$28&gt;0,SUM($C$28:BE28)/$B$28,0)</f>
        <v>0</v>
      </c>
      <c r="BF59" s="32">
        <f>IF($B$28&gt;0,SUM($C$28:BF28)/$B$28,0)</f>
        <v>0</v>
      </c>
      <c r="BG59" s="32">
        <f>IF($B$28&gt;0,SUM($C$28:BG28)/$B$28,0)</f>
        <v>0</v>
      </c>
      <c r="BH59" s="32">
        <f>IF($B$28&gt;0,SUM($C$28:BH28)/$B$28,0)</f>
        <v>0</v>
      </c>
      <c r="BI59" s="32">
        <f>IF($B$28&gt;0,SUM($C$28:BI28)/$B$28,0)</f>
        <v>0</v>
      </c>
      <c r="BJ59" s="32">
        <f>IF($B$28&gt;0,SUM($C$28:BJ28)/$B$28,0)</f>
        <v>0</v>
      </c>
    </row>
    <row r="60" spans="1:62" hidden="1" x14ac:dyDescent="0.3">
      <c r="A60" s="135" t="str">
        <f t="shared" si="2"/>
        <v xml:space="preserve">Depreciación del activo </v>
      </c>
      <c r="B60" s="136"/>
      <c r="C60" s="32">
        <f>IF($B$29&gt;0,SUM($C$29:C29)/$B$29,0)</f>
        <v>0</v>
      </c>
      <c r="D60" s="32">
        <f>IF($B$29&gt;0,SUM($C$29:D29)/$B$29,0)</f>
        <v>0</v>
      </c>
      <c r="E60" s="32">
        <f>IF($B$29&gt;0,SUM($C$29:E29)/$B$29,0)</f>
        <v>0</v>
      </c>
      <c r="F60" s="32">
        <f>IF($B$29&gt;0,SUM($C$29:F29)/$B$29,0)</f>
        <v>0</v>
      </c>
      <c r="G60" s="32">
        <f>IF($B$29&gt;0,SUM($C$29:G29)/$B$29,0)</f>
        <v>0</v>
      </c>
      <c r="H60" s="32">
        <f>IF($B$29&gt;0,SUM($C$29:H29)/$B$29,0)</f>
        <v>0</v>
      </c>
      <c r="I60" s="32">
        <f>IF($B$29&gt;0,SUM($C$29:I29)/$B$29,0)</f>
        <v>0</v>
      </c>
      <c r="J60" s="32">
        <f>IF($B$29&gt;0,SUM($C$29:J29)/$B$29,0)</f>
        <v>0</v>
      </c>
      <c r="K60" s="32">
        <f>IF($B$29&gt;0,SUM($C$29:K29)/$B$29,0)</f>
        <v>0</v>
      </c>
      <c r="L60" s="32">
        <f>IF($B$29&gt;0,SUM($C$29:L29)/$B$29,0)</f>
        <v>0</v>
      </c>
      <c r="M60" s="32">
        <f>IF($B$29&gt;0,SUM($C$29:M29)/$B$29,0)</f>
        <v>0</v>
      </c>
      <c r="N60" s="32">
        <f>IF($B$29&gt;0,SUM($C$29:N29)/$B$29,0)</f>
        <v>0</v>
      </c>
      <c r="O60" s="32">
        <f>IF($B$29&gt;0,SUM($C$29:O29)/$B$29,0)</f>
        <v>0</v>
      </c>
      <c r="P60" s="32">
        <f>IF($B$29&gt;0,SUM($C$29:P29)/$B$29,0)</f>
        <v>0</v>
      </c>
      <c r="Q60" s="32">
        <f>IF($B$29&gt;0,SUM($C$29:Q29)/$B$29,0)</f>
        <v>0</v>
      </c>
      <c r="R60" s="32">
        <f>IF($B$29&gt;0,SUM($C$29:R29)/$B$29,0)</f>
        <v>0</v>
      </c>
      <c r="S60" s="32">
        <f>IF($B$29&gt;0,SUM($C$29:S29)/$B$29,0)</f>
        <v>0</v>
      </c>
      <c r="T60" s="32">
        <f>IF($B$29&gt;0,SUM($C$29:T29)/$B$29,0)</f>
        <v>0</v>
      </c>
      <c r="U60" s="32">
        <f>IF($B$29&gt;0,SUM($C$29:U29)/$B$29,0)</f>
        <v>0</v>
      </c>
      <c r="V60" s="32">
        <f>IF($B$29&gt;0,SUM($C$29:V29)/$B$29,0)</f>
        <v>0</v>
      </c>
      <c r="W60" s="32">
        <f>IF($B$29&gt;0,SUM($C$29:W29)/$B$29,0)</f>
        <v>0</v>
      </c>
      <c r="X60" s="32">
        <f>IF($B$29&gt;0,SUM($C$29:X29)/$B$29,0)</f>
        <v>0</v>
      </c>
      <c r="Y60" s="32">
        <f>IF($B$29&gt;0,SUM($C$29:Y29)/$B$29,0)</f>
        <v>0</v>
      </c>
      <c r="Z60" s="32">
        <f>IF($B$29&gt;0,SUM($C$29:Z29)/$B$29,0)</f>
        <v>0</v>
      </c>
      <c r="AA60" s="32">
        <f>IF($B$29&gt;0,SUM($C$29:AA29)/$B$29,0)</f>
        <v>0</v>
      </c>
      <c r="AB60" s="32">
        <f>IF($B$29&gt;0,SUM($C$29:AB29)/$B$29,0)</f>
        <v>0</v>
      </c>
      <c r="AC60" s="32">
        <f>IF($B$29&gt;0,SUM($C$29:AC29)/$B$29,0)</f>
        <v>0</v>
      </c>
      <c r="AD60" s="32">
        <f>IF($B$29&gt;0,SUM($C$29:AD29)/$B$29,0)</f>
        <v>0</v>
      </c>
      <c r="AE60" s="32">
        <f>IF($B$29&gt;0,SUM($C$29:AE29)/$B$29,0)</f>
        <v>0</v>
      </c>
      <c r="AF60" s="32">
        <f>IF($B$29&gt;0,SUM($C$29:AF29)/$B$29,0)</f>
        <v>0</v>
      </c>
      <c r="AG60" s="32">
        <f>IF($B$29&gt;0,SUM($C$29:AG29)/$B$29,0)</f>
        <v>0</v>
      </c>
      <c r="AH60" s="32">
        <f>IF($B$29&gt;0,SUM($C$29:AH29)/$B$29,0)</f>
        <v>0</v>
      </c>
      <c r="AI60" s="32">
        <f>IF($B$29&gt;0,SUM($C$29:AI29)/$B$29,0)</f>
        <v>0</v>
      </c>
      <c r="AJ60" s="32">
        <f>IF($B$29&gt;0,SUM($C$29:AJ29)/$B$29,0)</f>
        <v>0</v>
      </c>
      <c r="AK60" s="32">
        <f>IF($B$29&gt;0,SUM($C$29:AK29)/$B$29,0)</f>
        <v>0</v>
      </c>
      <c r="AL60" s="32">
        <f>IF($B$29&gt;0,SUM($C$29:AL29)/$B$29,0)</f>
        <v>0</v>
      </c>
      <c r="AM60" s="32">
        <f>IF($B$29&gt;0,SUM($C$29:AM29)/$B$29,0)</f>
        <v>0</v>
      </c>
      <c r="AN60" s="32">
        <f>IF($B$29&gt;0,SUM($C$29:AN29)/$B$29,0)</f>
        <v>0</v>
      </c>
      <c r="AO60" s="32">
        <f>IF($B$29&gt;0,SUM($C$29:AO29)/$B$29,0)</f>
        <v>0</v>
      </c>
      <c r="AP60" s="32">
        <f>IF($B$29&gt;0,SUM($C$29:AP29)/$B$29,0)</f>
        <v>0</v>
      </c>
      <c r="AQ60" s="32">
        <f>IF($B$29&gt;0,SUM($C$29:AQ29)/$B$29,0)</f>
        <v>0</v>
      </c>
      <c r="AR60" s="32">
        <f>IF($B$29&gt;0,SUM($C$29:AR29)/$B$29,0)</f>
        <v>0</v>
      </c>
      <c r="AS60" s="32">
        <f>IF($B$29&gt;0,SUM($C$29:AS29)/$B$29,0)</f>
        <v>0</v>
      </c>
      <c r="AT60" s="32">
        <f>IF($B$29&gt;0,SUM($C$29:AT29)/$B$29,0)</f>
        <v>0</v>
      </c>
      <c r="AU60" s="32">
        <f>IF($B$29&gt;0,SUM($C$29:AU29)/$B$29,0)</f>
        <v>0</v>
      </c>
      <c r="AV60" s="32">
        <f>IF($B$29&gt;0,SUM($C$29:AV29)/$B$29,0)</f>
        <v>0</v>
      </c>
      <c r="AW60" s="32">
        <f>IF($B$29&gt;0,SUM($C$29:AW29)/$B$29,0)</f>
        <v>0</v>
      </c>
      <c r="AX60" s="32">
        <f>IF($B$29&gt;0,SUM($C$29:AX29)/$B$29,0)</f>
        <v>0</v>
      </c>
      <c r="AY60" s="32">
        <f>IF($B$29&gt;0,SUM($C$29:AY29)/$B$29,0)</f>
        <v>0</v>
      </c>
      <c r="AZ60" s="32">
        <f>IF($B$29&gt;0,SUM($C$29:AZ29)/$B$29,0)</f>
        <v>0</v>
      </c>
      <c r="BA60" s="32">
        <f>IF($B$29&gt;0,SUM($C$29:BA29)/$B$29,0)</f>
        <v>0</v>
      </c>
      <c r="BB60" s="32">
        <f>IF($B$29&gt;0,SUM($C$29:BB29)/$B$29,0)</f>
        <v>0</v>
      </c>
      <c r="BC60" s="32">
        <f>IF($B$29&gt;0,SUM($C$29:BC29)/$B$29,0)</f>
        <v>0</v>
      </c>
      <c r="BD60" s="32">
        <f>IF($B$29&gt;0,SUM($C$29:BD29)/$B$29,0)</f>
        <v>0</v>
      </c>
      <c r="BE60" s="32">
        <f>IF($B$29&gt;0,SUM($C$29:BE29)/$B$29,0)</f>
        <v>0</v>
      </c>
      <c r="BF60" s="32">
        <f>IF($B$29&gt;0,SUM($C$29:BF29)/$B$29,0)</f>
        <v>0</v>
      </c>
      <c r="BG60" s="32">
        <f>IF($B$29&gt;0,SUM($C$29:BG29)/$B$29,0)</f>
        <v>0</v>
      </c>
      <c r="BH60" s="32">
        <f>IF($B$29&gt;0,SUM($C$29:BH29)/$B$29,0)</f>
        <v>0</v>
      </c>
      <c r="BI60" s="32">
        <f>IF($B$29&gt;0,SUM($C$29:BI29)/$B$29,0)</f>
        <v>0</v>
      </c>
      <c r="BJ60" s="32">
        <f>IF($B$29&gt;0,SUM($C$29:BJ29)/$B$29,0)</f>
        <v>0</v>
      </c>
    </row>
    <row r="61" spans="1:62" hidden="1" x14ac:dyDescent="0.3">
      <c r="A61" s="135" t="str">
        <f t="shared" si="2"/>
        <v xml:space="preserve">Depreciación del activo </v>
      </c>
      <c r="B61" s="136"/>
      <c r="C61" s="32">
        <f>IF($B$30&gt;0,SUM($C$30:C30)/$B$30,0)</f>
        <v>0</v>
      </c>
      <c r="D61" s="32">
        <f>IF($B$30&gt;0,SUM($C$30:D30)/$B$30,0)</f>
        <v>0</v>
      </c>
      <c r="E61" s="32">
        <f>IF($B$30&gt;0,SUM($C$30:E30)/$B$30,0)</f>
        <v>0</v>
      </c>
      <c r="F61" s="32">
        <f>IF($B$30&gt;0,SUM($C$30:F30)/$B$30,0)</f>
        <v>0</v>
      </c>
      <c r="G61" s="32">
        <f>IF($B$30&gt;0,SUM($C$30:G30)/$B$30,0)</f>
        <v>0</v>
      </c>
      <c r="H61" s="32">
        <f>IF($B$30&gt;0,SUM($C$30:H30)/$B$30,0)</f>
        <v>0</v>
      </c>
      <c r="I61" s="32">
        <f>IF($B$30&gt;0,SUM($C$30:I30)/$B$30,0)</f>
        <v>0</v>
      </c>
      <c r="J61" s="32">
        <f>IF($B$30&gt;0,SUM($C$30:J30)/$B$30,0)</f>
        <v>0</v>
      </c>
      <c r="K61" s="32">
        <f>IF($B$30&gt;0,SUM($C$30:K30)/$B$30,0)</f>
        <v>0</v>
      </c>
      <c r="L61" s="32">
        <f>IF($B$30&gt;0,SUM($C$30:L30)/$B$30,0)</f>
        <v>0</v>
      </c>
      <c r="M61" s="32">
        <f>IF($B$30&gt;0,SUM($C$30:M30)/$B$30,0)</f>
        <v>0</v>
      </c>
      <c r="N61" s="32">
        <f>IF($B$30&gt;0,SUM($C$30:N30)/$B$30,0)</f>
        <v>0</v>
      </c>
      <c r="O61" s="32">
        <f>IF($B$30&gt;0,SUM($C$30:O30)/$B$30,0)</f>
        <v>0</v>
      </c>
      <c r="P61" s="32">
        <f>IF($B$30&gt;0,SUM($C$30:P30)/$B$30,0)</f>
        <v>0</v>
      </c>
      <c r="Q61" s="32">
        <f>IF($B$30&gt;0,SUM($C$30:Q30)/$B$30,0)</f>
        <v>0</v>
      </c>
      <c r="R61" s="32">
        <f>IF($B$30&gt;0,SUM($C$30:R30)/$B$30,0)</f>
        <v>0</v>
      </c>
      <c r="S61" s="32">
        <f>IF($B$30&gt;0,SUM($C$30:S30)/$B$30,0)</f>
        <v>0</v>
      </c>
      <c r="T61" s="32">
        <f>IF($B$30&gt;0,SUM($C$30:T30)/$B$30,0)</f>
        <v>0</v>
      </c>
      <c r="U61" s="32">
        <f>IF($B$30&gt;0,SUM($C$30:U30)/$B$30,0)</f>
        <v>0</v>
      </c>
      <c r="V61" s="32">
        <f>IF($B$30&gt;0,SUM($C$30:V30)/$B$30,0)</f>
        <v>0</v>
      </c>
      <c r="W61" s="32">
        <f>IF($B$30&gt;0,SUM($C$30:W30)/$B$30,0)</f>
        <v>0</v>
      </c>
      <c r="X61" s="32">
        <f>IF($B$30&gt;0,SUM($C$30:X30)/$B$30,0)</f>
        <v>0</v>
      </c>
      <c r="Y61" s="32">
        <f>IF($B$30&gt;0,SUM($C$30:Y30)/$B$30,0)</f>
        <v>0</v>
      </c>
      <c r="Z61" s="32">
        <f>IF($B$30&gt;0,SUM($C$30:Z30)/$B$30,0)</f>
        <v>0</v>
      </c>
      <c r="AA61" s="32">
        <f>IF($B$30&gt;0,SUM($C$30:AA30)/$B$30,0)</f>
        <v>0</v>
      </c>
      <c r="AB61" s="32">
        <f>IF($B$30&gt;0,SUM($C$30:AB30)/$B$30,0)</f>
        <v>0</v>
      </c>
      <c r="AC61" s="32">
        <f>IF($B$30&gt;0,SUM($C$30:AC30)/$B$30,0)</f>
        <v>0</v>
      </c>
      <c r="AD61" s="32">
        <f>IF($B$30&gt;0,SUM($C$30:AD30)/$B$30,0)</f>
        <v>0</v>
      </c>
      <c r="AE61" s="32">
        <f>IF($B$30&gt;0,SUM($C$30:AE30)/$B$30,0)</f>
        <v>0</v>
      </c>
      <c r="AF61" s="32">
        <f>IF($B$30&gt;0,SUM($C$30:AF30)/$B$30,0)</f>
        <v>0</v>
      </c>
      <c r="AG61" s="32">
        <f>IF($B$30&gt;0,SUM($C$30:AG30)/$B$30,0)</f>
        <v>0</v>
      </c>
      <c r="AH61" s="32">
        <f>IF($B$30&gt;0,SUM($C$30:AH30)/$B$30,0)</f>
        <v>0</v>
      </c>
      <c r="AI61" s="32">
        <f>IF($B$30&gt;0,SUM($C$30:AI30)/$B$30,0)</f>
        <v>0</v>
      </c>
      <c r="AJ61" s="32">
        <f>IF($B$30&gt;0,SUM($C$30:AJ30)/$B$30,0)</f>
        <v>0</v>
      </c>
      <c r="AK61" s="32">
        <f>IF($B$30&gt;0,SUM($C$30:AK30)/$B$30,0)</f>
        <v>0</v>
      </c>
      <c r="AL61" s="32">
        <f>IF($B$30&gt;0,SUM($C$30:AL30)/$B$30,0)</f>
        <v>0</v>
      </c>
      <c r="AM61" s="32">
        <f>IF($B$30&gt;0,SUM($C$30:AM30)/$B$30,0)</f>
        <v>0</v>
      </c>
      <c r="AN61" s="32">
        <f>IF($B$30&gt;0,SUM($C$30:AN30)/$B$30,0)</f>
        <v>0</v>
      </c>
      <c r="AO61" s="32">
        <f>IF($B$30&gt;0,SUM($C$30:AO30)/$B$30,0)</f>
        <v>0</v>
      </c>
      <c r="AP61" s="32">
        <f>IF($B$30&gt;0,SUM($C$30:AP30)/$B$30,0)</f>
        <v>0</v>
      </c>
      <c r="AQ61" s="32">
        <f>IF($B$30&gt;0,SUM($C$30:AQ30)/$B$30,0)</f>
        <v>0</v>
      </c>
      <c r="AR61" s="32">
        <f>IF($B$30&gt;0,SUM($C$30:AR30)/$B$30,0)</f>
        <v>0</v>
      </c>
      <c r="AS61" s="32">
        <f>IF($B$30&gt;0,SUM($C$30:AS30)/$B$30,0)</f>
        <v>0</v>
      </c>
      <c r="AT61" s="32">
        <f>IF($B$30&gt;0,SUM($C$30:AT30)/$B$30,0)</f>
        <v>0</v>
      </c>
      <c r="AU61" s="32">
        <f>IF($B$30&gt;0,SUM($C$30:AU30)/$B$30,0)</f>
        <v>0</v>
      </c>
      <c r="AV61" s="32">
        <f>IF($B$30&gt;0,SUM($C$30:AV30)/$B$30,0)</f>
        <v>0</v>
      </c>
      <c r="AW61" s="32">
        <f>IF($B$30&gt;0,SUM($C$30:AW30)/$B$30,0)</f>
        <v>0</v>
      </c>
      <c r="AX61" s="32">
        <f>IF($B$30&gt;0,SUM($C$30:AX30)/$B$30,0)</f>
        <v>0</v>
      </c>
      <c r="AY61" s="32">
        <f>IF($B$30&gt;0,SUM($C$30:AY30)/$B$30,0)</f>
        <v>0</v>
      </c>
      <c r="AZ61" s="32">
        <f>IF($B$30&gt;0,SUM($C$30:AZ30)/$B$30,0)</f>
        <v>0</v>
      </c>
      <c r="BA61" s="32">
        <f>IF($B$30&gt;0,SUM($C$30:BA30)/$B$30,0)</f>
        <v>0</v>
      </c>
      <c r="BB61" s="32">
        <f>IF($B$30&gt;0,SUM($C$30:BB30)/$B$30,0)</f>
        <v>0</v>
      </c>
      <c r="BC61" s="32">
        <f>IF($B$30&gt;0,SUM($C$30:BC30)/$B$30,0)</f>
        <v>0</v>
      </c>
      <c r="BD61" s="32">
        <f>IF($B$30&gt;0,SUM($C$30:BD30)/$B$30,0)</f>
        <v>0</v>
      </c>
      <c r="BE61" s="32">
        <f>IF($B$30&gt;0,SUM($C$30:BE30)/$B$30,0)</f>
        <v>0</v>
      </c>
      <c r="BF61" s="32">
        <f>IF($B$30&gt;0,SUM($C$30:BF30)/$B$30,0)</f>
        <v>0</v>
      </c>
      <c r="BG61" s="32">
        <f>IF($B$30&gt;0,SUM($C$30:BG30)/$B$30,0)</f>
        <v>0</v>
      </c>
      <c r="BH61" s="32">
        <f>IF($B$30&gt;0,SUM($C$30:BH30)/$B$30,0)</f>
        <v>0</v>
      </c>
      <c r="BI61" s="32">
        <f>IF($B$30&gt;0,SUM($C$30:BI30)/$B$30,0)</f>
        <v>0</v>
      </c>
      <c r="BJ61" s="32">
        <f>IF($B$30&gt;0,SUM($C$30:BJ30)/$B$30,0)</f>
        <v>0</v>
      </c>
    </row>
    <row r="62" spans="1:62" hidden="1" x14ac:dyDescent="0.3">
      <c r="A62" s="135" t="str">
        <f t="shared" si="2"/>
        <v xml:space="preserve">Depreciación del activo </v>
      </c>
      <c r="B62" s="136"/>
      <c r="C62" s="32">
        <f>IF($B$31&gt;0,SUM($C$31:C31)/$B$31,0)</f>
        <v>0</v>
      </c>
      <c r="D62" s="32">
        <f>IF($B$31&gt;0,SUM($C$31:D31)/$B$31,0)</f>
        <v>0</v>
      </c>
      <c r="E62" s="32">
        <f>IF($B$31&gt;0,SUM($C$31:E31)/$B$31,0)</f>
        <v>0</v>
      </c>
      <c r="F62" s="32">
        <f>IF($B$31&gt;0,SUM($C$31:F31)/$B$31,0)</f>
        <v>0</v>
      </c>
      <c r="G62" s="32">
        <f>IF($B$31&gt;0,SUM($C$31:G31)/$B$31,0)</f>
        <v>0</v>
      </c>
      <c r="H62" s="32">
        <f>IF($B$31&gt;0,SUM($C$31:H31)/$B$31,0)</f>
        <v>0</v>
      </c>
      <c r="I62" s="32">
        <f>IF($B$31&gt;0,SUM($C$31:I31)/$B$31,0)</f>
        <v>0</v>
      </c>
      <c r="J62" s="32">
        <f>IF($B$31&gt;0,SUM($C$31:J31)/$B$31,0)</f>
        <v>0</v>
      </c>
      <c r="K62" s="32">
        <f>IF($B$31&gt;0,SUM($C$31:K31)/$B$31,0)</f>
        <v>0</v>
      </c>
      <c r="L62" s="32">
        <f>IF($B$31&gt;0,SUM($C$31:L31)/$B$31,0)</f>
        <v>0</v>
      </c>
      <c r="M62" s="32">
        <f>IF($B$31&gt;0,SUM($C$31:M31)/$B$31,0)</f>
        <v>0</v>
      </c>
      <c r="N62" s="32">
        <f>IF($B$31&gt;0,SUM($C$31:N31)/$B$31,0)</f>
        <v>0</v>
      </c>
      <c r="O62" s="32">
        <f>IF($B$31&gt;0,SUM($C$31:O31)/$B$31,0)</f>
        <v>0</v>
      </c>
      <c r="P62" s="32">
        <f>IF($B$31&gt;0,SUM($C$31:P31)/$B$31,0)</f>
        <v>0</v>
      </c>
      <c r="Q62" s="32">
        <f>IF($B$31&gt;0,SUM($C$31:Q31)/$B$31,0)</f>
        <v>0</v>
      </c>
      <c r="R62" s="32">
        <f>IF($B$31&gt;0,SUM($C$31:R31)/$B$31,0)</f>
        <v>0</v>
      </c>
      <c r="S62" s="32">
        <f>IF($B$31&gt;0,SUM($C$31:S31)/$B$31,0)</f>
        <v>0</v>
      </c>
      <c r="T62" s="32">
        <f>IF($B$31&gt;0,SUM($C$31:T31)/$B$31,0)</f>
        <v>0</v>
      </c>
      <c r="U62" s="32">
        <f>IF($B$31&gt;0,SUM($C$31:U31)/$B$31,0)</f>
        <v>0</v>
      </c>
      <c r="V62" s="32">
        <f>IF($B$31&gt;0,SUM($C$31:V31)/$B$31,0)</f>
        <v>0</v>
      </c>
      <c r="W62" s="32">
        <f>IF($B$31&gt;0,SUM($C$31:W31)/$B$31,0)</f>
        <v>0</v>
      </c>
      <c r="X62" s="32">
        <f>IF($B$31&gt;0,SUM($C$31:X31)/$B$31,0)</f>
        <v>0</v>
      </c>
      <c r="Y62" s="32">
        <f>IF($B$31&gt;0,SUM($C$31:Y31)/$B$31,0)</f>
        <v>0</v>
      </c>
      <c r="Z62" s="32">
        <f>IF($B$31&gt;0,SUM($C$31:Z31)/$B$31,0)</f>
        <v>0</v>
      </c>
      <c r="AA62" s="32">
        <f>IF($B$31&gt;0,SUM($C$31:AA31)/$B$31,0)</f>
        <v>0</v>
      </c>
      <c r="AB62" s="32">
        <f>IF($B$31&gt;0,SUM($C$31:AB31)/$B$31,0)</f>
        <v>0</v>
      </c>
      <c r="AC62" s="32">
        <f>IF($B$31&gt;0,SUM($C$31:AC31)/$B$31,0)</f>
        <v>0</v>
      </c>
      <c r="AD62" s="32">
        <f>IF($B$31&gt;0,SUM($C$31:AD31)/$B$31,0)</f>
        <v>0</v>
      </c>
      <c r="AE62" s="32">
        <f>IF($B$31&gt;0,SUM($C$31:AE31)/$B$31,0)</f>
        <v>0</v>
      </c>
      <c r="AF62" s="32">
        <f>IF($B$31&gt;0,SUM($C$31:AF31)/$B$31,0)</f>
        <v>0</v>
      </c>
      <c r="AG62" s="32">
        <f>IF($B$31&gt;0,SUM($C$31:AG31)/$B$31,0)</f>
        <v>0</v>
      </c>
      <c r="AH62" s="32">
        <f>IF($B$31&gt;0,SUM($C$31:AH31)/$B$31,0)</f>
        <v>0</v>
      </c>
      <c r="AI62" s="32">
        <f>IF($B$31&gt;0,SUM($C$31:AI31)/$B$31,0)</f>
        <v>0</v>
      </c>
      <c r="AJ62" s="32">
        <f>IF($B$31&gt;0,SUM($C$31:AJ31)/$B$31,0)</f>
        <v>0</v>
      </c>
      <c r="AK62" s="32">
        <f>IF($B$31&gt;0,SUM($C$31:AK31)/$B$31,0)</f>
        <v>0</v>
      </c>
      <c r="AL62" s="32">
        <f>IF($B$31&gt;0,SUM($C$31:AL31)/$B$31,0)</f>
        <v>0</v>
      </c>
      <c r="AM62" s="32">
        <f>IF($B$31&gt;0,SUM($C$31:AM31)/$B$31,0)</f>
        <v>0</v>
      </c>
      <c r="AN62" s="32">
        <f>IF($B$31&gt;0,SUM($C$31:AN31)/$B$31,0)</f>
        <v>0</v>
      </c>
      <c r="AO62" s="32">
        <f>IF($B$31&gt;0,SUM($C$31:AO31)/$B$31,0)</f>
        <v>0</v>
      </c>
      <c r="AP62" s="32">
        <f>IF($B$31&gt;0,SUM($C$31:AP31)/$B$31,0)</f>
        <v>0</v>
      </c>
      <c r="AQ62" s="32">
        <f>IF($B$31&gt;0,SUM($C$31:AQ31)/$B$31,0)</f>
        <v>0</v>
      </c>
      <c r="AR62" s="32">
        <f>IF($B$31&gt;0,SUM($C$31:AR31)/$B$31,0)</f>
        <v>0</v>
      </c>
      <c r="AS62" s="32">
        <f>IF($B$31&gt;0,SUM($C$31:AS31)/$B$31,0)</f>
        <v>0</v>
      </c>
      <c r="AT62" s="32">
        <f>IF($B$31&gt;0,SUM($C$31:AT31)/$B$31,0)</f>
        <v>0</v>
      </c>
      <c r="AU62" s="32">
        <f>IF($B$31&gt;0,SUM($C$31:AU31)/$B$31,0)</f>
        <v>0</v>
      </c>
      <c r="AV62" s="32">
        <f>IF($B$31&gt;0,SUM($C$31:AV31)/$B$31,0)</f>
        <v>0</v>
      </c>
      <c r="AW62" s="32">
        <f>IF($B$31&gt;0,SUM($C$31:AW31)/$B$31,0)</f>
        <v>0</v>
      </c>
      <c r="AX62" s="32">
        <f>IF($B$31&gt;0,SUM($C$31:AX31)/$B$31,0)</f>
        <v>0</v>
      </c>
      <c r="AY62" s="32">
        <f>IF($B$31&gt;0,SUM($C$31:AY31)/$B$31,0)</f>
        <v>0</v>
      </c>
      <c r="AZ62" s="32">
        <f>IF($B$31&gt;0,SUM($C$31:AZ31)/$B$31,0)</f>
        <v>0</v>
      </c>
      <c r="BA62" s="32">
        <f>IF($B$31&gt;0,SUM($C$31:BA31)/$B$31,0)</f>
        <v>0</v>
      </c>
      <c r="BB62" s="32">
        <f>IF($B$31&gt;0,SUM($C$31:BB31)/$B$31,0)</f>
        <v>0</v>
      </c>
      <c r="BC62" s="32">
        <f>IF($B$31&gt;0,SUM($C$31:BC31)/$B$31,0)</f>
        <v>0</v>
      </c>
      <c r="BD62" s="32">
        <f>IF($B$31&gt;0,SUM($C$31:BD31)/$B$31,0)</f>
        <v>0</v>
      </c>
      <c r="BE62" s="32">
        <f>IF($B$31&gt;0,SUM($C$31:BE31)/$B$31,0)</f>
        <v>0</v>
      </c>
      <c r="BF62" s="32">
        <f>IF($B$31&gt;0,SUM($C$31:BF31)/$B$31,0)</f>
        <v>0</v>
      </c>
      <c r="BG62" s="32">
        <f>IF($B$31&gt;0,SUM($C$31:BG31)/$B$31,0)</f>
        <v>0</v>
      </c>
      <c r="BH62" s="32">
        <f>IF($B$31&gt;0,SUM($C$31:BH31)/$B$31,0)</f>
        <v>0</v>
      </c>
      <c r="BI62" s="32">
        <f>IF($B$31&gt;0,SUM($C$31:BI31)/$B$31,0)</f>
        <v>0</v>
      </c>
      <c r="BJ62" s="32">
        <f>IF($B$31&gt;0,SUM($C$31:BJ31)/$B$31,0)</f>
        <v>0</v>
      </c>
    </row>
    <row r="63" spans="1:62" hidden="1" x14ac:dyDescent="0.3">
      <c r="A63" s="135" t="str">
        <f t="shared" si="2"/>
        <v xml:space="preserve">Depreciación del activo </v>
      </c>
      <c r="B63" s="136"/>
      <c r="C63" s="32">
        <f>IF($B$32&gt;0,SUM($C$32:C32)/$B$32,0)</f>
        <v>0</v>
      </c>
      <c r="D63" s="32">
        <f>IF($B$32&gt;0,SUM($C$32:D32)/$B$32,0)</f>
        <v>0</v>
      </c>
      <c r="E63" s="32">
        <f>IF($B$32&gt;0,SUM($C$32:E32)/$B$32,0)</f>
        <v>0</v>
      </c>
      <c r="F63" s="32">
        <f>IF($B$32&gt;0,SUM($C$32:F32)/$B$32,0)</f>
        <v>0</v>
      </c>
      <c r="G63" s="32">
        <f>IF($B$32&gt;0,SUM($C$32:G32)/$B$32,0)</f>
        <v>0</v>
      </c>
      <c r="H63" s="32">
        <f>IF($B$32&gt;0,SUM($C$32:H32)/$B$32,0)</f>
        <v>0</v>
      </c>
      <c r="I63" s="32">
        <f>IF($B$32&gt;0,SUM($C$32:I32)/$B$32,0)</f>
        <v>0</v>
      </c>
      <c r="J63" s="32">
        <f>IF($B$32&gt;0,SUM($C$32:J32)/$B$32,0)</f>
        <v>0</v>
      </c>
      <c r="K63" s="32">
        <f>IF($B$32&gt;0,SUM($C$32:K32)/$B$32,0)</f>
        <v>0</v>
      </c>
      <c r="L63" s="32">
        <f>IF($B$32&gt;0,SUM($C$32:L32)/$B$32,0)</f>
        <v>0</v>
      </c>
      <c r="M63" s="32">
        <f>IF($B$32&gt;0,SUM($C$32:M32)/$B$32,0)</f>
        <v>0</v>
      </c>
      <c r="N63" s="32">
        <f>IF($B$32&gt;0,SUM($C$32:N32)/$B$32,0)</f>
        <v>0</v>
      </c>
      <c r="O63" s="32">
        <f>IF($B$32&gt;0,SUM($C$32:O32)/$B$32,0)</f>
        <v>0</v>
      </c>
      <c r="P63" s="32">
        <f>IF($B$32&gt;0,SUM($C$32:P32)/$B$32,0)</f>
        <v>0</v>
      </c>
      <c r="Q63" s="32">
        <f>IF($B$32&gt;0,SUM($C$32:Q32)/$B$32,0)</f>
        <v>0</v>
      </c>
      <c r="R63" s="32">
        <f>IF($B$32&gt;0,SUM($C$32:R32)/$B$32,0)</f>
        <v>0</v>
      </c>
      <c r="S63" s="32">
        <f>IF($B$32&gt;0,SUM($C$32:S32)/$B$32,0)</f>
        <v>0</v>
      </c>
      <c r="T63" s="32">
        <f>IF($B$32&gt;0,SUM($C$32:T32)/$B$32,0)</f>
        <v>0</v>
      </c>
      <c r="U63" s="32">
        <f>IF($B$32&gt;0,SUM($C$32:U32)/$B$32,0)</f>
        <v>0</v>
      </c>
      <c r="V63" s="32">
        <f>IF($B$32&gt;0,SUM($C$32:V32)/$B$32,0)</f>
        <v>0</v>
      </c>
      <c r="W63" s="32">
        <f>IF($B$32&gt;0,SUM($C$32:W32)/$B$32,0)</f>
        <v>0</v>
      </c>
      <c r="X63" s="32">
        <f>IF($B$32&gt;0,SUM($C$32:X32)/$B$32,0)</f>
        <v>0</v>
      </c>
      <c r="Y63" s="32">
        <f>IF($B$32&gt;0,SUM($C$32:Y32)/$B$32,0)</f>
        <v>0</v>
      </c>
      <c r="Z63" s="32">
        <f>IF($B$32&gt;0,SUM($C$32:Z32)/$B$32,0)</f>
        <v>0</v>
      </c>
      <c r="AA63" s="32">
        <f>IF($B$32&gt;0,SUM($C$32:AA32)/$B$32,0)</f>
        <v>0</v>
      </c>
      <c r="AB63" s="32">
        <f>IF($B$32&gt;0,SUM($C$32:AB32)/$B$32,0)</f>
        <v>0</v>
      </c>
      <c r="AC63" s="32">
        <f>IF($B$32&gt;0,SUM($C$32:AC32)/$B$32,0)</f>
        <v>0</v>
      </c>
      <c r="AD63" s="32">
        <f>IF($B$32&gt;0,SUM($C$32:AD32)/$B$32,0)</f>
        <v>0</v>
      </c>
      <c r="AE63" s="32">
        <f>IF($B$32&gt;0,SUM($C$32:AE32)/$B$32,0)</f>
        <v>0</v>
      </c>
      <c r="AF63" s="32">
        <f>IF($B$32&gt;0,SUM($C$32:AF32)/$B$32,0)</f>
        <v>0</v>
      </c>
      <c r="AG63" s="32">
        <f>IF($B$32&gt;0,SUM($C$32:AG32)/$B$32,0)</f>
        <v>0</v>
      </c>
      <c r="AH63" s="32">
        <f>IF($B$32&gt;0,SUM($C$32:AH32)/$B$32,0)</f>
        <v>0</v>
      </c>
      <c r="AI63" s="32">
        <f>IF($B$32&gt;0,SUM($C$32:AI32)/$B$32,0)</f>
        <v>0</v>
      </c>
      <c r="AJ63" s="32">
        <f>IF($B$32&gt;0,SUM($C$32:AJ32)/$B$32,0)</f>
        <v>0</v>
      </c>
      <c r="AK63" s="32">
        <f>IF($B$32&gt;0,SUM($C$32:AK32)/$B$32,0)</f>
        <v>0</v>
      </c>
      <c r="AL63" s="32">
        <f>IF($B$32&gt;0,SUM($C$32:AL32)/$B$32,0)</f>
        <v>0</v>
      </c>
      <c r="AM63" s="32">
        <f>IF($B$32&gt;0,SUM($C$32:AM32)/$B$32,0)</f>
        <v>0</v>
      </c>
      <c r="AN63" s="32">
        <f>IF($B$32&gt;0,SUM($C$32:AN32)/$B$32,0)</f>
        <v>0</v>
      </c>
      <c r="AO63" s="32">
        <f>IF($B$32&gt;0,SUM($C$32:AO32)/$B$32,0)</f>
        <v>0</v>
      </c>
      <c r="AP63" s="32">
        <f>IF($B$32&gt;0,SUM($C$32:AP32)/$B$32,0)</f>
        <v>0</v>
      </c>
      <c r="AQ63" s="32">
        <f>IF($B$32&gt;0,SUM($C$32:AQ32)/$B$32,0)</f>
        <v>0</v>
      </c>
      <c r="AR63" s="32">
        <f>IF($B$32&gt;0,SUM($C$32:AR32)/$B$32,0)</f>
        <v>0</v>
      </c>
      <c r="AS63" s="32">
        <f>IF($B$32&gt;0,SUM($C$32:AS32)/$B$32,0)</f>
        <v>0</v>
      </c>
      <c r="AT63" s="32">
        <f>IF($B$32&gt;0,SUM($C$32:AT32)/$B$32,0)</f>
        <v>0</v>
      </c>
      <c r="AU63" s="32">
        <f>IF($B$32&gt;0,SUM($C$32:AU32)/$B$32,0)</f>
        <v>0</v>
      </c>
      <c r="AV63" s="32">
        <f>IF($B$32&gt;0,SUM($C$32:AV32)/$B$32,0)</f>
        <v>0</v>
      </c>
      <c r="AW63" s="32">
        <f>IF($B$32&gt;0,SUM($C$32:AW32)/$B$32,0)</f>
        <v>0</v>
      </c>
      <c r="AX63" s="32">
        <f>IF($B$32&gt;0,SUM($C$32:AX32)/$B$32,0)</f>
        <v>0</v>
      </c>
      <c r="AY63" s="32">
        <f>IF($B$32&gt;0,SUM($C$32:AY32)/$B$32,0)</f>
        <v>0</v>
      </c>
      <c r="AZ63" s="32">
        <f>IF($B$32&gt;0,SUM($C$32:AZ32)/$B$32,0)</f>
        <v>0</v>
      </c>
      <c r="BA63" s="32">
        <f>IF($B$32&gt;0,SUM($C$32:BA32)/$B$32,0)</f>
        <v>0</v>
      </c>
      <c r="BB63" s="32">
        <f>IF($B$32&gt;0,SUM($C$32:BB32)/$B$32,0)</f>
        <v>0</v>
      </c>
      <c r="BC63" s="32">
        <f>IF($B$32&gt;0,SUM($C$32:BC32)/$B$32,0)</f>
        <v>0</v>
      </c>
      <c r="BD63" s="32">
        <f>IF($B$32&gt;0,SUM($C$32:BD32)/$B$32,0)</f>
        <v>0</v>
      </c>
      <c r="BE63" s="32">
        <f>IF($B$32&gt;0,SUM($C$32:BE32)/$B$32,0)</f>
        <v>0</v>
      </c>
      <c r="BF63" s="32">
        <f>IF($B$32&gt;0,SUM($C$32:BF32)/$B$32,0)</f>
        <v>0</v>
      </c>
      <c r="BG63" s="32">
        <f>IF($B$32&gt;0,SUM($C$32:BG32)/$B$32,0)</f>
        <v>0</v>
      </c>
      <c r="BH63" s="32">
        <f>IF($B$32&gt;0,SUM($C$32:BH32)/$B$32,0)</f>
        <v>0</v>
      </c>
      <c r="BI63" s="32">
        <f>IF($B$32&gt;0,SUM($C$32:BI32)/$B$32,0)</f>
        <v>0</v>
      </c>
      <c r="BJ63" s="32">
        <f>IF($B$32&gt;0,SUM($C$32:BJ32)/$B$32,0)</f>
        <v>0</v>
      </c>
    </row>
    <row r="64" spans="1:62" hidden="1" x14ac:dyDescent="0.3">
      <c r="A64" s="135" t="str">
        <f t="shared" si="2"/>
        <v xml:space="preserve">Depreciación del activo </v>
      </c>
      <c r="B64" s="136"/>
      <c r="C64" s="32">
        <f>IF($B$33&gt;0,SUM($C$33:C33)/$B$33,0)</f>
        <v>0</v>
      </c>
      <c r="D64" s="32">
        <f>IF($B$33&gt;0,SUM($C$33:D33)/$B$33,0)</f>
        <v>0</v>
      </c>
      <c r="E64" s="32">
        <f>IF($B$33&gt;0,SUM($C$33:E33)/$B$33,0)</f>
        <v>0</v>
      </c>
      <c r="F64" s="32">
        <f>IF($B$33&gt;0,SUM($C$33:F33)/$B$33,0)</f>
        <v>0</v>
      </c>
      <c r="G64" s="32">
        <f>IF($B$33&gt;0,SUM($C$33:G33)/$B$33,0)</f>
        <v>0</v>
      </c>
      <c r="H64" s="32">
        <f>IF($B$33&gt;0,SUM($C$33:H33)/$B$33,0)</f>
        <v>0</v>
      </c>
      <c r="I64" s="32">
        <f>IF($B$33&gt;0,SUM($C$33:I33)/$B$33,0)</f>
        <v>0</v>
      </c>
      <c r="J64" s="32">
        <f>IF($B$33&gt;0,SUM($C$33:J33)/$B$33,0)</f>
        <v>0</v>
      </c>
      <c r="K64" s="32">
        <f>IF($B$33&gt;0,SUM($C$33:K33)/$B$33,0)</f>
        <v>0</v>
      </c>
      <c r="L64" s="32">
        <f>IF($B$33&gt;0,SUM($C$33:L33)/$B$33,0)</f>
        <v>0</v>
      </c>
      <c r="M64" s="32">
        <f>IF($B$33&gt;0,SUM($C$33:M33)/$B$33,0)</f>
        <v>0</v>
      </c>
      <c r="N64" s="32">
        <f>IF($B$33&gt;0,SUM($C$33:N33)/$B$33,0)</f>
        <v>0</v>
      </c>
      <c r="O64" s="32">
        <f>IF($B$33&gt;0,SUM($C$33:O33)/$B$33,0)</f>
        <v>0</v>
      </c>
      <c r="P64" s="32">
        <f>IF($B$33&gt;0,SUM($C$33:P33)/$B$33,0)</f>
        <v>0</v>
      </c>
      <c r="Q64" s="32">
        <f>IF($B$33&gt;0,SUM($C$33:Q33)/$B$33,0)</f>
        <v>0</v>
      </c>
      <c r="R64" s="32">
        <f>IF($B$33&gt;0,SUM($C$33:R33)/$B$33,0)</f>
        <v>0</v>
      </c>
      <c r="S64" s="32">
        <f>IF($B$33&gt;0,SUM($C$33:S33)/$B$33,0)</f>
        <v>0</v>
      </c>
      <c r="T64" s="32">
        <f>IF($B$33&gt;0,SUM($C$33:T33)/$B$33,0)</f>
        <v>0</v>
      </c>
      <c r="U64" s="32">
        <f>IF($B$33&gt;0,SUM($C$33:U33)/$B$33,0)</f>
        <v>0</v>
      </c>
      <c r="V64" s="32">
        <f>IF($B$33&gt;0,SUM($C$33:V33)/$B$33,0)</f>
        <v>0</v>
      </c>
      <c r="W64" s="32">
        <f>IF($B$33&gt;0,SUM($C$33:W33)/$B$33,0)</f>
        <v>0</v>
      </c>
      <c r="X64" s="32">
        <f>IF($B$33&gt;0,SUM($C$33:X33)/$B$33,0)</f>
        <v>0</v>
      </c>
      <c r="Y64" s="32">
        <f>IF($B$33&gt;0,SUM($C$33:Y33)/$B$33,0)</f>
        <v>0</v>
      </c>
      <c r="Z64" s="32">
        <f>IF($B$33&gt;0,SUM($C$33:Z33)/$B$33,0)</f>
        <v>0</v>
      </c>
      <c r="AA64" s="32">
        <f>IF($B$33&gt;0,SUM($C$33:AA33)/$B$33,0)</f>
        <v>0</v>
      </c>
      <c r="AB64" s="32">
        <f>IF($B$33&gt;0,SUM($C$33:AB33)/$B$33,0)</f>
        <v>0</v>
      </c>
      <c r="AC64" s="32">
        <f>IF($B$33&gt;0,SUM($C$33:AC33)/$B$33,0)</f>
        <v>0</v>
      </c>
      <c r="AD64" s="32">
        <f>IF($B$33&gt;0,SUM($C$33:AD33)/$B$33,0)</f>
        <v>0</v>
      </c>
      <c r="AE64" s="32">
        <f>IF($B$33&gt;0,SUM($C$33:AE33)/$B$33,0)</f>
        <v>0</v>
      </c>
      <c r="AF64" s="32">
        <f>IF($B$33&gt;0,SUM($C$33:AF33)/$B$33,0)</f>
        <v>0</v>
      </c>
      <c r="AG64" s="32">
        <f>IF($B$33&gt;0,SUM($C$33:AG33)/$B$33,0)</f>
        <v>0</v>
      </c>
      <c r="AH64" s="32">
        <f>IF($B$33&gt;0,SUM($C$33:AH33)/$B$33,0)</f>
        <v>0</v>
      </c>
      <c r="AI64" s="32">
        <f>IF($B$33&gt;0,SUM($C$33:AI33)/$B$33,0)</f>
        <v>0</v>
      </c>
      <c r="AJ64" s="32">
        <f>IF($B$33&gt;0,SUM($C$33:AJ33)/$B$33,0)</f>
        <v>0</v>
      </c>
      <c r="AK64" s="32">
        <f>IF($B$33&gt;0,SUM($C$33:AK33)/$B$33,0)</f>
        <v>0</v>
      </c>
      <c r="AL64" s="32">
        <f>IF($B$33&gt;0,SUM($C$33:AL33)/$B$33,0)</f>
        <v>0</v>
      </c>
      <c r="AM64" s="32">
        <f>IF($B$33&gt;0,SUM($C$33:AM33)/$B$33,0)</f>
        <v>0</v>
      </c>
      <c r="AN64" s="32">
        <f>IF($B$33&gt;0,SUM($C$33:AN33)/$B$33,0)</f>
        <v>0</v>
      </c>
      <c r="AO64" s="32">
        <f>IF($B$33&gt;0,SUM($C$33:AO33)/$B$33,0)</f>
        <v>0</v>
      </c>
      <c r="AP64" s="32">
        <f>IF($B$33&gt;0,SUM($C$33:AP33)/$B$33,0)</f>
        <v>0</v>
      </c>
      <c r="AQ64" s="32">
        <f>IF($B$33&gt;0,SUM($C$33:AQ33)/$B$33,0)</f>
        <v>0</v>
      </c>
      <c r="AR64" s="32">
        <f>IF($B$33&gt;0,SUM($C$33:AR33)/$B$33,0)</f>
        <v>0</v>
      </c>
      <c r="AS64" s="32">
        <f>IF($B$33&gt;0,SUM($C$33:AS33)/$B$33,0)</f>
        <v>0</v>
      </c>
      <c r="AT64" s="32">
        <f>IF($B$33&gt;0,SUM($C$33:AT33)/$B$33,0)</f>
        <v>0</v>
      </c>
      <c r="AU64" s="32">
        <f>IF($B$33&gt;0,SUM($C$33:AU33)/$B$33,0)</f>
        <v>0</v>
      </c>
      <c r="AV64" s="32">
        <f>IF($B$33&gt;0,SUM($C$33:AV33)/$B$33,0)</f>
        <v>0</v>
      </c>
      <c r="AW64" s="32">
        <f>IF($B$33&gt;0,SUM($C$33:AW33)/$B$33,0)</f>
        <v>0</v>
      </c>
      <c r="AX64" s="32">
        <f>IF($B$33&gt;0,SUM($C$33:AX33)/$B$33,0)</f>
        <v>0</v>
      </c>
      <c r="AY64" s="32">
        <f>IF($B$33&gt;0,SUM($C$33:AY33)/$B$33,0)</f>
        <v>0</v>
      </c>
      <c r="AZ64" s="32">
        <f>IF($B$33&gt;0,SUM($C$33:AZ33)/$B$33,0)</f>
        <v>0</v>
      </c>
      <c r="BA64" s="32">
        <f>IF($B$33&gt;0,SUM($C$33:BA33)/$B$33,0)</f>
        <v>0</v>
      </c>
      <c r="BB64" s="32">
        <f>IF($B$33&gt;0,SUM($C$33:BB33)/$B$33,0)</f>
        <v>0</v>
      </c>
      <c r="BC64" s="32">
        <f>IF($B$33&gt;0,SUM($C$33:BC33)/$B$33,0)</f>
        <v>0</v>
      </c>
      <c r="BD64" s="32">
        <f>IF($B$33&gt;0,SUM($C$33:BD33)/$B$33,0)</f>
        <v>0</v>
      </c>
      <c r="BE64" s="32">
        <f>IF($B$33&gt;0,SUM($C$33:BE33)/$B$33,0)</f>
        <v>0</v>
      </c>
      <c r="BF64" s="32">
        <f>IF($B$33&gt;0,SUM($C$33:BF33)/$B$33,0)</f>
        <v>0</v>
      </c>
      <c r="BG64" s="32">
        <f>IF($B$33&gt;0,SUM($C$33:BG33)/$B$33,0)</f>
        <v>0</v>
      </c>
      <c r="BH64" s="32">
        <f>IF($B$33&gt;0,SUM($C$33:BH33)/$B$33,0)</f>
        <v>0</v>
      </c>
      <c r="BI64" s="32">
        <f>IF($B$33&gt;0,SUM($C$33:BI33)/$B$33,0)</f>
        <v>0</v>
      </c>
      <c r="BJ64" s="32">
        <f>IF($B$33&gt;0,SUM($C$33:BJ33)/$B$33,0)</f>
        <v>0</v>
      </c>
    </row>
    <row r="65" spans="1:62" hidden="1" x14ac:dyDescent="0.3">
      <c r="A65" s="135" t="str">
        <f t="shared" si="2"/>
        <v xml:space="preserve">Depreciación del activo </v>
      </c>
      <c r="B65" s="136"/>
      <c r="C65" s="32">
        <f>IF($B$34&gt;0,SUM($C$34:C34)/$B$34,0)</f>
        <v>0</v>
      </c>
      <c r="D65" s="32">
        <f>IF($B$34&gt;0,SUM($C$34:D34)/$B$34,0)</f>
        <v>0</v>
      </c>
      <c r="E65" s="32">
        <f>IF($B$34&gt;0,SUM($C$34:E34)/$B$34,0)</f>
        <v>0</v>
      </c>
      <c r="F65" s="32">
        <f>IF($B$34&gt;0,SUM($C$34:F34)/$B$34,0)</f>
        <v>0</v>
      </c>
      <c r="G65" s="32">
        <f>IF($B$34&gt;0,SUM($C$34:G34)/$B$34,0)</f>
        <v>0</v>
      </c>
      <c r="H65" s="32">
        <f>IF($B$34&gt;0,SUM($C$34:H34)/$B$34,0)</f>
        <v>0</v>
      </c>
      <c r="I65" s="32">
        <f>IF($B$34&gt;0,SUM($C$34:I34)/$B$34,0)</f>
        <v>0</v>
      </c>
      <c r="J65" s="32">
        <f>IF($B$34&gt;0,SUM($C$34:J34)/$B$34,0)</f>
        <v>0</v>
      </c>
      <c r="K65" s="32">
        <f>IF($B$34&gt;0,SUM($C$34:K34)/$B$34,0)</f>
        <v>0</v>
      </c>
      <c r="L65" s="32">
        <f>IF($B$34&gt;0,SUM($C$34:L34)/$B$34,0)</f>
        <v>0</v>
      </c>
      <c r="M65" s="32">
        <f>IF($B$34&gt;0,SUM($C$34:M34)/$B$34,0)</f>
        <v>0</v>
      </c>
      <c r="N65" s="32">
        <f>IF($B$34&gt;0,SUM($C$34:N34)/$B$34,0)</f>
        <v>0</v>
      </c>
      <c r="O65" s="32">
        <f>IF($B$34&gt;0,SUM($C$34:O34)/$B$34,0)</f>
        <v>0</v>
      </c>
      <c r="P65" s="32">
        <f>IF($B$34&gt;0,SUM($C$34:P34)/$B$34,0)</f>
        <v>0</v>
      </c>
      <c r="Q65" s="32">
        <f>IF($B$34&gt;0,SUM($C$34:Q34)/$B$34,0)</f>
        <v>0</v>
      </c>
      <c r="R65" s="32">
        <f>IF($B$34&gt;0,SUM($C$34:R34)/$B$34,0)</f>
        <v>0</v>
      </c>
      <c r="S65" s="32">
        <f>IF($B$34&gt;0,SUM($C$34:S34)/$B$34,0)</f>
        <v>0</v>
      </c>
      <c r="T65" s="32">
        <f>IF($B$34&gt;0,SUM($C$34:T34)/$B$34,0)</f>
        <v>0</v>
      </c>
      <c r="U65" s="32">
        <f>IF($B$34&gt;0,SUM($C$34:U34)/$B$34,0)</f>
        <v>0</v>
      </c>
      <c r="V65" s="32">
        <f>IF($B$34&gt;0,SUM($C$34:V34)/$B$34,0)</f>
        <v>0</v>
      </c>
      <c r="W65" s="32">
        <f>IF($B$34&gt;0,SUM($C$34:W34)/$B$34,0)</f>
        <v>0</v>
      </c>
      <c r="X65" s="32">
        <f>IF($B$34&gt;0,SUM($C$34:X34)/$B$34,0)</f>
        <v>0</v>
      </c>
      <c r="Y65" s="32">
        <f>IF($B$34&gt;0,SUM($C$34:Y34)/$B$34,0)</f>
        <v>0</v>
      </c>
      <c r="Z65" s="32">
        <f>IF($B$34&gt;0,SUM($C$34:Z34)/$B$34,0)</f>
        <v>0</v>
      </c>
      <c r="AA65" s="32">
        <f>IF($B$34&gt;0,SUM($C$34:AA34)/$B$34,0)</f>
        <v>0</v>
      </c>
      <c r="AB65" s="32">
        <f>IF($B$34&gt;0,SUM($C$34:AB34)/$B$34,0)</f>
        <v>0</v>
      </c>
      <c r="AC65" s="32">
        <f>IF($B$34&gt;0,SUM($C$34:AC34)/$B$34,0)</f>
        <v>0</v>
      </c>
      <c r="AD65" s="32">
        <f>IF($B$34&gt;0,SUM($C$34:AD34)/$B$34,0)</f>
        <v>0</v>
      </c>
      <c r="AE65" s="32">
        <f>IF($B$34&gt;0,SUM($C$34:AE34)/$B$34,0)</f>
        <v>0</v>
      </c>
      <c r="AF65" s="32">
        <f>IF($B$34&gt;0,SUM($C$34:AF34)/$B$34,0)</f>
        <v>0</v>
      </c>
      <c r="AG65" s="32">
        <f>IF($B$34&gt;0,SUM($C$34:AG34)/$B$34,0)</f>
        <v>0</v>
      </c>
      <c r="AH65" s="32">
        <f>IF($B$34&gt;0,SUM($C$34:AH34)/$B$34,0)</f>
        <v>0</v>
      </c>
      <c r="AI65" s="32">
        <f>IF($B$34&gt;0,SUM($C$34:AI34)/$B$34,0)</f>
        <v>0</v>
      </c>
      <c r="AJ65" s="32">
        <f>IF($B$34&gt;0,SUM($C$34:AJ34)/$B$34,0)</f>
        <v>0</v>
      </c>
      <c r="AK65" s="32">
        <f>IF($B$34&gt;0,SUM($C$34:AK34)/$B$34,0)</f>
        <v>0</v>
      </c>
      <c r="AL65" s="32">
        <f>IF($B$34&gt;0,SUM($C$34:AL34)/$B$34,0)</f>
        <v>0</v>
      </c>
      <c r="AM65" s="32">
        <f>IF($B$34&gt;0,SUM($C$34:AM34)/$B$34,0)</f>
        <v>0</v>
      </c>
      <c r="AN65" s="32">
        <f>IF($B$34&gt;0,SUM($C$34:AN34)/$B$34,0)</f>
        <v>0</v>
      </c>
      <c r="AO65" s="32">
        <f>IF($B$34&gt;0,SUM($C$34:AO34)/$B$34,0)</f>
        <v>0</v>
      </c>
      <c r="AP65" s="32">
        <f>IF($B$34&gt;0,SUM($C$34:AP34)/$B$34,0)</f>
        <v>0</v>
      </c>
      <c r="AQ65" s="32">
        <f>IF($B$34&gt;0,SUM($C$34:AQ34)/$B$34,0)</f>
        <v>0</v>
      </c>
      <c r="AR65" s="32">
        <f>IF($B$34&gt;0,SUM($C$34:AR34)/$B$34,0)</f>
        <v>0</v>
      </c>
      <c r="AS65" s="32">
        <f>IF($B$34&gt;0,SUM($C$34:AS34)/$B$34,0)</f>
        <v>0</v>
      </c>
      <c r="AT65" s="32">
        <f>IF($B$34&gt;0,SUM($C$34:AT34)/$B$34,0)</f>
        <v>0</v>
      </c>
      <c r="AU65" s="32">
        <f>IF($B$34&gt;0,SUM($C$34:AU34)/$B$34,0)</f>
        <v>0</v>
      </c>
      <c r="AV65" s="32">
        <f>IF($B$34&gt;0,SUM($C$34:AV34)/$B$34,0)</f>
        <v>0</v>
      </c>
      <c r="AW65" s="32">
        <f>IF($B$34&gt;0,SUM($C$34:AW34)/$B$34,0)</f>
        <v>0</v>
      </c>
      <c r="AX65" s="32">
        <f>IF($B$34&gt;0,SUM($C$34:AX34)/$B$34,0)</f>
        <v>0</v>
      </c>
      <c r="AY65" s="32">
        <f>IF($B$34&gt;0,SUM($C$34:AY34)/$B$34,0)</f>
        <v>0</v>
      </c>
      <c r="AZ65" s="32">
        <f>IF($B$34&gt;0,SUM($C$34:AZ34)/$B$34,0)</f>
        <v>0</v>
      </c>
      <c r="BA65" s="32">
        <f>IF($B$34&gt;0,SUM($C$34:BA34)/$B$34,0)</f>
        <v>0</v>
      </c>
      <c r="BB65" s="32">
        <f>IF($B$34&gt;0,SUM($C$34:BB34)/$B$34,0)</f>
        <v>0</v>
      </c>
      <c r="BC65" s="32">
        <f>IF($B$34&gt;0,SUM($C$34:BC34)/$B$34,0)</f>
        <v>0</v>
      </c>
      <c r="BD65" s="32">
        <f>IF($B$34&gt;0,SUM($C$34:BD34)/$B$34,0)</f>
        <v>0</v>
      </c>
      <c r="BE65" s="32">
        <f>IF($B$34&gt;0,SUM($C$34:BE34)/$B$34,0)</f>
        <v>0</v>
      </c>
      <c r="BF65" s="32">
        <f>IF($B$34&gt;0,SUM($C$34:BF34)/$B$34,0)</f>
        <v>0</v>
      </c>
      <c r="BG65" s="32">
        <f>IF($B$34&gt;0,SUM($C$34:BG34)/$B$34,0)</f>
        <v>0</v>
      </c>
      <c r="BH65" s="32">
        <f>IF($B$34&gt;0,SUM($C$34:BH34)/$B$34,0)</f>
        <v>0</v>
      </c>
      <c r="BI65" s="32">
        <f>IF($B$34&gt;0,SUM($C$34:BI34)/$B$34,0)</f>
        <v>0</v>
      </c>
      <c r="BJ65" s="32">
        <f>IF($B$34&gt;0,SUM($C$34:BJ34)/$B$34,0)</f>
        <v>0</v>
      </c>
    </row>
    <row r="66" spans="1:62" hidden="1" x14ac:dyDescent="0.3">
      <c r="A66" s="135" t="str">
        <f t="shared" si="2"/>
        <v xml:space="preserve">Depreciación del activo </v>
      </c>
      <c r="B66" s="136"/>
      <c r="C66" s="32">
        <f>IF($B$35&gt;0,SUM($C$35:C35)/$B$35,0)</f>
        <v>0</v>
      </c>
      <c r="D66" s="32">
        <f>IF($B$35&gt;0,SUM($C$35:D35)/$B$35,0)</f>
        <v>0</v>
      </c>
      <c r="E66" s="32">
        <f>IF($B$35&gt;0,SUM($C$35:E35)/$B$35,0)</f>
        <v>0</v>
      </c>
      <c r="F66" s="32">
        <f>IF($B$35&gt;0,SUM($C$35:F35)/$B$35,0)</f>
        <v>0</v>
      </c>
      <c r="G66" s="32">
        <f>IF($B$35&gt;0,SUM($C$35:G35)/$B$35,0)</f>
        <v>0</v>
      </c>
      <c r="H66" s="32">
        <f>IF($B$35&gt;0,SUM($C$35:H35)/$B$35,0)</f>
        <v>0</v>
      </c>
      <c r="I66" s="32">
        <f>IF($B$35&gt;0,SUM($C$35:I35)/$B$35,0)</f>
        <v>0</v>
      </c>
      <c r="J66" s="32">
        <f>IF($B$35&gt;0,SUM($C$35:J35)/$B$35,0)</f>
        <v>0</v>
      </c>
      <c r="K66" s="32">
        <f>IF($B$35&gt;0,SUM($C$35:K35)/$B$35,0)</f>
        <v>0</v>
      </c>
      <c r="L66" s="32">
        <f>IF($B$35&gt;0,SUM($C$35:L35)/$B$35,0)</f>
        <v>0</v>
      </c>
      <c r="M66" s="32">
        <f>IF($B$35&gt;0,SUM($C$35:M35)/$B$35,0)</f>
        <v>0</v>
      </c>
      <c r="N66" s="32">
        <f>IF($B$35&gt;0,SUM($C$35:N35)/$B$35,0)</f>
        <v>0</v>
      </c>
      <c r="O66" s="32">
        <f>IF($B$35&gt;0,SUM($C$35:O35)/$B$35,0)</f>
        <v>0</v>
      </c>
      <c r="P66" s="32">
        <f>IF($B$35&gt;0,SUM($C$35:P35)/$B$35,0)</f>
        <v>0</v>
      </c>
      <c r="Q66" s="32">
        <f>IF($B$35&gt;0,SUM($C$35:Q35)/$B$35,0)</f>
        <v>0</v>
      </c>
      <c r="R66" s="32">
        <f>IF($B$35&gt;0,SUM($C$35:R35)/$B$35,0)</f>
        <v>0</v>
      </c>
      <c r="S66" s="32">
        <f>IF($B$35&gt;0,SUM($C$35:S35)/$B$35,0)</f>
        <v>0</v>
      </c>
      <c r="T66" s="32">
        <f>IF($B$35&gt;0,SUM($C$35:T35)/$B$35,0)</f>
        <v>0</v>
      </c>
      <c r="U66" s="32">
        <f>IF($B$35&gt;0,SUM($C$35:U35)/$B$35,0)</f>
        <v>0</v>
      </c>
      <c r="V66" s="32">
        <f>IF($B$35&gt;0,SUM($C$35:V35)/$B$35,0)</f>
        <v>0</v>
      </c>
      <c r="W66" s="32">
        <f>IF($B$35&gt;0,SUM($C$35:W35)/$B$35,0)</f>
        <v>0</v>
      </c>
      <c r="X66" s="32">
        <f>IF($B$35&gt;0,SUM($C$35:X35)/$B$35,0)</f>
        <v>0</v>
      </c>
      <c r="Y66" s="32">
        <f>IF($B$35&gt;0,SUM($C$35:Y35)/$B$35,0)</f>
        <v>0</v>
      </c>
      <c r="Z66" s="32">
        <f>IF($B$35&gt;0,SUM($C$35:Z35)/$B$35,0)</f>
        <v>0</v>
      </c>
      <c r="AA66" s="32">
        <f>IF($B$35&gt;0,SUM($C$35:AA35)/$B$35,0)</f>
        <v>0</v>
      </c>
      <c r="AB66" s="32">
        <f>IF($B$35&gt;0,SUM($C$35:AB35)/$B$35,0)</f>
        <v>0</v>
      </c>
      <c r="AC66" s="32">
        <f>IF($B$35&gt;0,SUM($C$35:AC35)/$B$35,0)</f>
        <v>0</v>
      </c>
      <c r="AD66" s="32">
        <f>IF($B$35&gt;0,SUM($C$35:AD35)/$B$35,0)</f>
        <v>0</v>
      </c>
      <c r="AE66" s="32">
        <f>IF($B$35&gt;0,SUM($C$35:AE35)/$B$35,0)</f>
        <v>0</v>
      </c>
      <c r="AF66" s="32">
        <f>IF($B$35&gt;0,SUM($C$35:AF35)/$B$35,0)</f>
        <v>0</v>
      </c>
      <c r="AG66" s="32">
        <f>IF($B$35&gt;0,SUM($C$35:AG35)/$B$35,0)</f>
        <v>0</v>
      </c>
      <c r="AH66" s="32">
        <f>IF($B$35&gt;0,SUM($C$35:AH35)/$B$35,0)</f>
        <v>0</v>
      </c>
      <c r="AI66" s="32">
        <f>IF($B$35&gt;0,SUM($C$35:AI35)/$B$35,0)</f>
        <v>0</v>
      </c>
      <c r="AJ66" s="32">
        <f>IF($B$35&gt;0,SUM($C$35:AJ35)/$B$35,0)</f>
        <v>0</v>
      </c>
      <c r="AK66" s="32">
        <f>IF($B$35&gt;0,SUM($C$35:AK35)/$B$35,0)</f>
        <v>0</v>
      </c>
      <c r="AL66" s="32">
        <f>IF($B$35&gt;0,SUM($C$35:AL35)/$B$35,0)</f>
        <v>0</v>
      </c>
      <c r="AM66" s="32">
        <f>IF($B$35&gt;0,SUM($C$35:AM35)/$B$35,0)</f>
        <v>0</v>
      </c>
      <c r="AN66" s="32">
        <f>IF($B$35&gt;0,SUM($C$35:AN35)/$B$35,0)</f>
        <v>0</v>
      </c>
      <c r="AO66" s="32">
        <f>IF($B$35&gt;0,SUM($C$35:AO35)/$B$35,0)</f>
        <v>0</v>
      </c>
      <c r="AP66" s="32">
        <f>IF($B$35&gt;0,SUM($C$35:AP35)/$B$35,0)</f>
        <v>0</v>
      </c>
      <c r="AQ66" s="32">
        <f>IF($B$35&gt;0,SUM($C$35:AQ35)/$B$35,0)</f>
        <v>0</v>
      </c>
      <c r="AR66" s="32">
        <f>IF($B$35&gt;0,SUM($C$35:AR35)/$B$35,0)</f>
        <v>0</v>
      </c>
      <c r="AS66" s="32">
        <f>IF($B$35&gt;0,SUM($C$35:AS35)/$B$35,0)</f>
        <v>0</v>
      </c>
      <c r="AT66" s="32">
        <f>IF($B$35&gt;0,SUM($C$35:AT35)/$B$35,0)</f>
        <v>0</v>
      </c>
      <c r="AU66" s="32">
        <f>IF($B$35&gt;0,SUM($C$35:AU35)/$B$35,0)</f>
        <v>0</v>
      </c>
      <c r="AV66" s="32">
        <f>IF($B$35&gt;0,SUM($C$35:AV35)/$B$35,0)</f>
        <v>0</v>
      </c>
      <c r="AW66" s="32">
        <f>IF($B$35&gt;0,SUM($C$35:AW35)/$B$35,0)</f>
        <v>0</v>
      </c>
      <c r="AX66" s="32">
        <f>IF($B$35&gt;0,SUM($C$35:AX35)/$B$35,0)</f>
        <v>0</v>
      </c>
      <c r="AY66" s="32">
        <f>IF($B$35&gt;0,SUM($C$35:AY35)/$B$35,0)</f>
        <v>0</v>
      </c>
      <c r="AZ66" s="32">
        <f>IF($B$35&gt;0,SUM($C$35:AZ35)/$B$35,0)</f>
        <v>0</v>
      </c>
      <c r="BA66" s="32">
        <f>IF($B$35&gt;0,SUM($C$35:BA35)/$B$35,0)</f>
        <v>0</v>
      </c>
      <c r="BB66" s="32">
        <f>IF($B$35&gt;0,SUM($C$35:BB35)/$B$35,0)</f>
        <v>0</v>
      </c>
      <c r="BC66" s="32">
        <f>IF($B$35&gt;0,SUM($C$35:BC35)/$B$35,0)</f>
        <v>0</v>
      </c>
      <c r="BD66" s="32">
        <f>IF($B$35&gt;0,SUM($C$35:BD35)/$B$35,0)</f>
        <v>0</v>
      </c>
      <c r="BE66" s="32">
        <f>IF($B$35&gt;0,SUM($C$35:BE35)/$B$35,0)</f>
        <v>0</v>
      </c>
      <c r="BF66" s="32">
        <f>IF($B$35&gt;0,SUM($C$35:BF35)/$B$35,0)</f>
        <v>0</v>
      </c>
      <c r="BG66" s="32">
        <f>IF($B$35&gt;0,SUM($C$35:BG35)/$B$35,0)</f>
        <v>0</v>
      </c>
      <c r="BH66" s="32">
        <f>IF($B$35&gt;0,SUM($C$35:BH35)/$B$35,0)</f>
        <v>0</v>
      </c>
      <c r="BI66" s="32">
        <f>IF($B$35&gt;0,SUM($C$35:BI35)/$B$35,0)</f>
        <v>0</v>
      </c>
      <c r="BJ66" s="32">
        <f>IF($B$35&gt;0,SUM($C$35:BJ35)/$B$35,0)</f>
        <v>0</v>
      </c>
    </row>
    <row r="67" spans="1:62" hidden="1" x14ac:dyDescent="0.3">
      <c r="A67" s="110" t="s">
        <v>199</v>
      </c>
      <c r="B67" s="111"/>
      <c r="C67" s="9">
        <f>SUM(C41:C66)</f>
        <v>0</v>
      </c>
      <c r="D67" s="9">
        <f t="shared" ref="D67:BJ67" si="3">SUM(D41:D66)</f>
        <v>0</v>
      </c>
      <c r="E67" s="9">
        <f t="shared" si="3"/>
        <v>0</v>
      </c>
      <c r="F67" s="9">
        <f t="shared" si="3"/>
        <v>0</v>
      </c>
      <c r="G67" s="9">
        <f t="shared" si="3"/>
        <v>0</v>
      </c>
      <c r="H67" s="9">
        <f t="shared" si="3"/>
        <v>0</v>
      </c>
      <c r="I67" s="9">
        <f t="shared" si="3"/>
        <v>0</v>
      </c>
      <c r="J67" s="9">
        <f t="shared" si="3"/>
        <v>0</v>
      </c>
      <c r="K67" s="9">
        <f t="shared" si="3"/>
        <v>0</v>
      </c>
      <c r="L67" s="9">
        <f t="shared" si="3"/>
        <v>0</v>
      </c>
      <c r="M67" s="9">
        <f t="shared" si="3"/>
        <v>0</v>
      </c>
      <c r="N67" s="9">
        <f t="shared" si="3"/>
        <v>0</v>
      </c>
      <c r="O67" s="9">
        <f t="shared" si="3"/>
        <v>0</v>
      </c>
      <c r="P67" s="9">
        <f t="shared" si="3"/>
        <v>0</v>
      </c>
      <c r="Q67" s="9">
        <f t="shared" si="3"/>
        <v>0</v>
      </c>
      <c r="R67" s="9">
        <f t="shared" si="3"/>
        <v>0</v>
      </c>
      <c r="S67" s="9">
        <f t="shared" si="3"/>
        <v>0</v>
      </c>
      <c r="T67" s="9">
        <f t="shared" si="3"/>
        <v>0</v>
      </c>
      <c r="U67" s="9">
        <f t="shared" si="3"/>
        <v>0</v>
      </c>
      <c r="V67" s="9">
        <f t="shared" si="3"/>
        <v>0</v>
      </c>
      <c r="W67" s="9">
        <f t="shared" si="3"/>
        <v>0</v>
      </c>
      <c r="X67" s="9">
        <f t="shared" si="3"/>
        <v>0</v>
      </c>
      <c r="Y67" s="9">
        <f t="shared" si="3"/>
        <v>0</v>
      </c>
      <c r="Z67" s="9">
        <f t="shared" si="3"/>
        <v>0</v>
      </c>
      <c r="AA67" s="9">
        <f t="shared" si="3"/>
        <v>0</v>
      </c>
      <c r="AB67" s="9">
        <f t="shared" si="3"/>
        <v>0</v>
      </c>
      <c r="AC67" s="9">
        <f t="shared" si="3"/>
        <v>0</v>
      </c>
      <c r="AD67" s="9">
        <f t="shared" si="3"/>
        <v>0</v>
      </c>
      <c r="AE67" s="9">
        <f t="shared" si="3"/>
        <v>0</v>
      </c>
      <c r="AF67" s="9">
        <f t="shared" si="3"/>
        <v>0</v>
      </c>
      <c r="AG67" s="9">
        <f t="shared" si="3"/>
        <v>0</v>
      </c>
      <c r="AH67" s="9">
        <f t="shared" si="3"/>
        <v>0</v>
      </c>
      <c r="AI67" s="9">
        <f t="shared" si="3"/>
        <v>0</v>
      </c>
      <c r="AJ67" s="9">
        <f t="shared" si="3"/>
        <v>0</v>
      </c>
      <c r="AK67" s="9">
        <f t="shared" si="3"/>
        <v>0</v>
      </c>
      <c r="AL67" s="9">
        <f t="shared" si="3"/>
        <v>0</v>
      </c>
      <c r="AM67" s="9">
        <f t="shared" si="3"/>
        <v>0</v>
      </c>
      <c r="AN67" s="9">
        <f t="shared" si="3"/>
        <v>0</v>
      </c>
      <c r="AO67" s="9">
        <f t="shared" si="3"/>
        <v>0</v>
      </c>
      <c r="AP67" s="9">
        <f t="shared" si="3"/>
        <v>0</v>
      </c>
      <c r="AQ67" s="9">
        <f t="shared" si="3"/>
        <v>0</v>
      </c>
      <c r="AR67" s="9">
        <f t="shared" si="3"/>
        <v>0</v>
      </c>
      <c r="AS67" s="9">
        <f t="shared" si="3"/>
        <v>0</v>
      </c>
      <c r="AT67" s="9">
        <f t="shared" si="3"/>
        <v>0</v>
      </c>
      <c r="AU67" s="9">
        <f t="shared" si="3"/>
        <v>0</v>
      </c>
      <c r="AV67" s="9">
        <f t="shared" si="3"/>
        <v>0</v>
      </c>
      <c r="AW67" s="9">
        <f t="shared" si="3"/>
        <v>0</v>
      </c>
      <c r="AX67" s="9">
        <f t="shared" si="3"/>
        <v>0</v>
      </c>
      <c r="AY67" s="9">
        <f t="shared" si="3"/>
        <v>0</v>
      </c>
      <c r="AZ67" s="9">
        <f t="shared" si="3"/>
        <v>0</v>
      </c>
      <c r="BA67" s="9">
        <f t="shared" si="3"/>
        <v>0</v>
      </c>
      <c r="BB67" s="9">
        <f t="shared" si="3"/>
        <v>0</v>
      </c>
      <c r="BC67" s="9">
        <f t="shared" si="3"/>
        <v>0</v>
      </c>
      <c r="BD67" s="9">
        <f t="shared" si="3"/>
        <v>0</v>
      </c>
      <c r="BE67" s="9">
        <f t="shared" si="3"/>
        <v>0</v>
      </c>
      <c r="BF67" s="9">
        <f t="shared" si="3"/>
        <v>0</v>
      </c>
      <c r="BG67" s="9">
        <f t="shared" si="3"/>
        <v>0</v>
      </c>
      <c r="BH67" s="9">
        <f t="shared" si="3"/>
        <v>0</v>
      </c>
      <c r="BI67" s="9">
        <f t="shared" si="3"/>
        <v>0</v>
      </c>
      <c r="BJ67" s="9">
        <f t="shared" si="3"/>
        <v>0</v>
      </c>
    </row>
    <row r="68" spans="1:62" x14ac:dyDescent="0.3">
      <c r="A68" t="s">
        <v>200</v>
      </c>
    </row>
    <row r="98" spans="1:61" s="75" customFormat="1" ht="12" x14ac:dyDescent="0.2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</row>
    <row r="99" spans="1:61" s="75" customFormat="1" ht="12" x14ac:dyDescent="0.25">
      <c r="A99" s="76" t="s">
        <v>60</v>
      </c>
    </row>
    <row r="100" spans="1:61" s="75" customFormat="1" ht="12" x14ac:dyDescent="0.25">
      <c r="A100" s="76" t="s">
        <v>61</v>
      </c>
    </row>
    <row r="101" spans="1:61" s="75" customFormat="1" ht="12" x14ac:dyDescent="0.25">
      <c r="A101" s="76" t="s">
        <v>130</v>
      </c>
    </row>
    <row r="102" spans="1:61" s="75" customFormat="1" ht="12" x14ac:dyDescent="0.25">
      <c r="A102" s="76" t="s">
        <v>63</v>
      </c>
    </row>
    <row r="103" spans="1:61" s="75" customFormat="1" ht="12" x14ac:dyDescent="0.25">
      <c r="A103" s="117" t="s">
        <v>64</v>
      </c>
      <c r="B103" s="117"/>
      <c r="C103" s="117"/>
      <c r="D103" s="117"/>
      <c r="E103" s="117"/>
      <c r="F103" s="117"/>
      <c r="G103" s="117"/>
    </row>
  </sheetData>
  <sheetProtection algorithmName="SHA-512" hashValue="k2XLHpSwC42JqYtUpRqaVmGdxWUPOI3HF1NcJseg0ckW/Pwm5x5NawgA7hzGROakeyG5kvnXiLNiCjFSWNjy4Q==" saltValue="wjgiqUpWuX5s9TsGm0zAYA==" spinCount="100000" sheet="1" objects="1" scenarios="1" formatColumns="0"/>
  <mergeCells count="42">
    <mergeCell ref="A65:B65"/>
    <mergeCell ref="A66:B66"/>
    <mergeCell ref="A60:B60"/>
    <mergeCell ref="A61:B61"/>
    <mergeCell ref="A62:B62"/>
    <mergeCell ref="A63:B63"/>
    <mergeCell ref="A64:B64"/>
    <mergeCell ref="AN8:AY8"/>
    <mergeCell ref="AZ8:BK8"/>
    <mergeCell ref="C1:N4"/>
    <mergeCell ref="C5:N5"/>
    <mergeCell ref="A8:A9"/>
    <mergeCell ref="D8:O8"/>
    <mergeCell ref="P8:AA8"/>
    <mergeCell ref="AB8:AM8"/>
    <mergeCell ref="C39:N39"/>
    <mergeCell ref="O39:Z39"/>
    <mergeCell ref="AA39:AL39"/>
    <mergeCell ref="AM39:AX39"/>
    <mergeCell ref="AY39:BJ39"/>
    <mergeCell ref="A59:B59"/>
    <mergeCell ref="A39:B40"/>
    <mergeCell ref="A41:B41"/>
    <mergeCell ref="A42:B42"/>
    <mergeCell ref="A43:B43"/>
    <mergeCell ref="A44:B44"/>
    <mergeCell ref="A103:G103"/>
    <mergeCell ref="A67:B67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BW111"/>
  <sheetViews>
    <sheetView showGridLines="0" tabSelected="1" topLeftCell="A37" zoomScaleNormal="100" workbookViewId="0">
      <selection activeCell="C9" sqref="C9:C12"/>
    </sheetView>
  </sheetViews>
  <sheetFormatPr baseColWidth="10" defaultColWidth="11" defaultRowHeight="15.6" x14ac:dyDescent="0.3"/>
  <cols>
    <col min="1" max="1" width="41.59765625" customWidth="1"/>
    <col min="2" max="2" width="14" customWidth="1"/>
    <col min="3" max="3" width="16.09765625" customWidth="1"/>
    <col min="4" max="4" width="11.09765625" bestFit="1" customWidth="1"/>
    <col min="5" max="5" width="12.09765625" bestFit="1" customWidth="1"/>
    <col min="6" max="7" width="11.09765625" bestFit="1" customWidth="1"/>
    <col min="8" max="8" width="12.09765625" bestFit="1" customWidth="1"/>
    <col min="9" max="27" width="11.09765625" bestFit="1" customWidth="1"/>
    <col min="28" max="28" width="12.09765625" bestFit="1" customWidth="1"/>
    <col min="29" max="63" width="11.09765625" bestFit="1" customWidth="1"/>
    <col min="64" max="64" width="14" style="87" bestFit="1" customWidth="1"/>
    <col min="65" max="67" width="11.09765625" style="87" bestFit="1" customWidth="1"/>
    <col min="68" max="75" width="10.09765625" style="87" bestFit="1" customWidth="1"/>
  </cols>
  <sheetData>
    <row r="1" spans="1:75" ht="15.9" customHeight="1" x14ac:dyDescent="0.3">
      <c r="B1" s="113" t="str">
        <f>CONCATENATE(INICIO!$B$10," ",INICIO!$B$11)</f>
        <v>TIZA S.A.S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</row>
    <row r="2" spans="1:75" ht="15.9" customHeight="1" x14ac:dyDescent="0.3"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</row>
    <row r="3" spans="1:75" ht="15.9" customHeight="1" x14ac:dyDescent="0.3"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</row>
    <row r="4" spans="1:75" ht="15.9" customHeight="1" x14ac:dyDescent="0.3"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1:75" x14ac:dyDescent="0.3">
      <c r="B5" s="114" t="s">
        <v>201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</row>
    <row r="6" spans="1:75" x14ac:dyDescent="0.3">
      <c r="A6" s="112" t="s">
        <v>202</v>
      </c>
      <c r="B6" s="112"/>
      <c r="C6" s="3"/>
    </row>
    <row r="7" spans="1:75" x14ac:dyDescent="0.3">
      <c r="A7" s="120" t="s">
        <v>203</v>
      </c>
      <c r="B7" s="11"/>
      <c r="C7" s="11"/>
      <c r="D7" s="103">
        <f>Año1</f>
        <v>2027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>
        <f>Año2</f>
        <v>2028</v>
      </c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>
        <f>Año3</f>
        <v>2029</v>
      </c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>
        <f>Año4</f>
        <v>2030</v>
      </c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>
        <f>Año5</f>
        <v>2031</v>
      </c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</row>
    <row r="8" spans="1:75" x14ac:dyDescent="0.3">
      <c r="A8" s="120"/>
      <c r="B8" s="11"/>
      <c r="C8" s="11" t="s">
        <v>196</v>
      </c>
      <c r="D8" s="4" t="s">
        <v>67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72</v>
      </c>
      <c r="J8" s="4" t="s">
        <v>73</v>
      </c>
      <c r="K8" s="4" t="s">
        <v>74</v>
      </c>
      <c r="L8" s="4" t="s">
        <v>75</v>
      </c>
      <c r="M8" s="4" t="s">
        <v>76</v>
      </c>
      <c r="N8" s="4" t="s">
        <v>77</v>
      </c>
      <c r="O8" s="4" t="s">
        <v>78</v>
      </c>
      <c r="P8" s="4" t="s">
        <v>79</v>
      </c>
      <c r="Q8" s="4" t="s">
        <v>80</v>
      </c>
      <c r="R8" s="4" t="s">
        <v>81</v>
      </c>
      <c r="S8" s="4" t="s">
        <v>82</v>
      </c>
      <c r="T8" s="4" t="s">
        <v>83</v>
      </c>
      <c r="U8" s="4" t="s">
        <v>84</v>
      </c>
      <c r="V8" s="4" t="s">
        <v>85</v>
      </c>
      <c r="W8" s="4" t="s">
        <v>86</v>
      </c>
      <c r="X8" s="4" t="s">
        <v>87</v>
      </c>
      <c r="Y8" s="4" t="s">
        <v>88</v>
      </c>
      <c r="Z8" s="4" t="s">
        <v>89</v>
      </c>
      <c r="AA8" s="4" t="s">
        <v>90</v>
      </c>
      <c r="AB8" s="4" t="s">
        <v>91</v>
      </c>
      <c r="AC8" s="4" t="s">
        <v>92</v>
      </c>
      <c r="AD8" s="4" t="s">
        <v>93</v>
      </c>
      <c r="AE8" s="4" t="s">
        <v>94</v>
      </c>
      <c r="AF8" s="4" t="s">
        <v>95</v>
      </c>
      <c r="AG8" s="4" t="s">
        <v>96</v>
      </c>
      <c r="AH8" s="4" t="s">
        <v>97</v>
      </c>
      <c r="AI8" s="4" t="s">
        <v>98</v>
      </c>
      <c r="AJ8" s="4" t="s">
        <v>99</v>
      </c>
      <c r="AK8" s="4" t="s">
        <v>100</v>
      </c>
      <c r="AL8" s="4" t="s">
        <v>101</v>
      </c>
      <c r="AM8" s="4" t="s">
        <v>102</v>
      </c>
      <c r="AN8" s="4" t="s">
        <v>103</v>
      </c>
      <c r="AO8" s="4" t="s">
        <v>104</v>
      </c>
      <c r="AP8" s="4" t="s">
        <v>105</v>
      </c>
      <c r="AQ8" s="4" t="s">
        <v>106</v>
      </c>
      <c r="AR8" s="4" t="s">
        <v>107</v>
      </c>
      <c r="AS8" s="4" t="s">
        <v>108</v>
      </c>
      <c r="AT8" s="4" t="s">
        <v>109</v>
      </c>
      <c r="AU8" s="4" t="s">
        <v>110</v>
      </c>
      <c r="AV8" s="4" t="s">
        <v>111</v>
      </c>
      <c r="AW8" s="4" t="s">
        <v>112</v>
      </c>
      <c r="AX8" s="4" t="s">
        <v>113</v>
      </c>
      <c r="AY8" s="4" t="s">
        <v>114</v>
      </c>
      <c r="AZ8" s="4" t="s">
        <v>115</v>
      </c>
      <c r="BA8" s="4" t="s">
        <v>116</v>
      </c>
      <c r="BB8" s="4" t="s">
        <v>117</v>
      </c>
      <c r="BC8" s="4" t="s">
        <v>118</v>
      </c>
      <c r="BD8" s="4" t="s">
        <v>119</v>
      </c>
      <c r="BE8" s="4" t="s">
        <v>120</v>
      </c>
      <c r="BF8" s="4" t="s">
        <v>121</v>
      </c>
      <c r="BG8" s="4" t="s">
        <v>122</v>
      </c>
      <c r="BH8" s="4" t="s">
        <v>123</v>
      </c>
      <c r="BI8" s="4" t="s">
        <v>124</v>
      </c>
      <c r="BJ8" s="4" t="s">
        <v>125</v>
      </c>
      <c r="BK8" s="4" t="s">
        <v>126</v>
      </c>
    </row>
    <row r="9" spans="1:75" x14ac:dyDescent="0.3">
      <c r="A9" s="104" t="str">
        <f>CONCATENATE("Aportes de Capital del socio"," ",INICIO!A19)</f>
        <v>Aportes de Capital del socio Danna Sanchez</v>
      </c>
      <c r="B9" s="105"/>
      <c r="C9" s="30">
        <v>2000000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90">
        <f>SUM(C9:BK9)</f>
        <v>2000000</v>
      </c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</row>
    <row r="10" spans="1:75" x14ac:dyDescent="0.3">
      <c r="A10" s="104" t="str">
        <f>CONCATENATE("Aportes de Capital del socio"," ",INICIO!A20)</f>
        <v>Aportes de Capital del socio Sergio Nieto</v>
      </c>
      <c r="B10" s="105"/>
      <c r="C10" s="31">
        <v>2000000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90">
        <f t="shared" ref="BL10:BL46" si="0">SUM(C10:BK10)</f>
        <v>2000000</v>
      </c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</row>
    <row r="11" spans="1:75" x14ac:dyDescent="0.3">
      <c r="A11" s="104" t="str">
        <f>CONCATENATE("Aportes de Capital del socio"," ",INICIO!A21)</f>
        <v>Aportes de Capital del socio Daniel Martin</v>
      </c>
      <c r="B11" s="105"/>
      <c r="C11" s="31">
        <v>2000000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90">
        <f t="shared" si="0"/>
        <v>2000000</v>
      </c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</row>
    <row r="12" spans="1:75" x14ac:dyDescent="0.3">
      <c r="A12" s="104" t="str">
        <f>CONCATENATE("Aportes de Capital del socio"," ",INICIO!A22)</f>
        <v>Aportes de Capital del socio Christian Morales</v>
      </c>
      <c r="B12" s="105"/>
      <c r="C12" s="31">
        <v>2000000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90">
        <f t="shared" si="0"/>
        <v>2000000</v>
      </c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</row>
    <row r="13" spans="1:75" x14ac:dyDescent="0.3">
      <c r="A13" s="104" t="str">
        <f>CONCATENATE("Aportes de Capital del socio"," ",INICIO!A23)</f>
        <v>Aportes de Capital del socio INVERSOR 5</v>
      </c>
      <c r="B13" s="105"/>
      <c r="C13" s="31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90">
        <f t="shared" si="0"/>
        <v>0</v>
      </c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</row>
    <row r="14" spans="1:75" x14ac:dyDescent="0.3">
      <c r="A14" s="104" t="str">
        <f>CONCATENATE("Aportes de Capital del socio"," ",INICIO!A24)</f>
        <v>Aportes de Capital del socio INVERSOR 6</v>
      </c>
      <c r="B14" s="105"/>
      <c r="C14" s="3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90">
        <f t="shared" si="0"/>
        <v>0</v>
      </c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</row>
    <row r="15" spans="1:75" x14ac:dyDescent="0.3">
      <c r="A15" s="118"/>
      <c r="B15" s="119"/>
      <c r="C15" s="3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90">
        <f t="shared" si="0"/>
        <v>0</v>
      </c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</row>
    <row r="16" spans="1:75" x14ac:dyDescent="0.3">
      <c r="A16" s="118"/>
      <c r="B16" s="119"/>
      <c r="C16" s="3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90">
        <f t="shared" si="0"/>
        <v>0</v>
      </c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</row>
    <row r="17" spans="1:75" x14ac:dyDescent="0.3">
      <c r="A17" s="118"/>
      <c r="B17" s="119"/>
      <c r="C17" s="3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90">
        <f t="shared" si="0"/>
        <v>0</v>
      </c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</row>
    <row r="18" spans="1:75" x14ac:dyDescent="0.3">
      <c r="A18" s="118"/>
      <c r="B18" s="119"/>
      <c r="C18" s="3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90">
        <f t="shared" si="0"/>
        <v>0</v>
      </c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</row>
    <row r="19" spans="1:75" x14ac:dyDescent="0.3">
      <c r="A19" s="118"/>
      <c r="B19" s="119"/>
      <c r="C19" s="3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90">
        <f t="shared" si="0"/>
        <v>0</v>
      </c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</row>
    <row r="20" spans="1:75" x14ac:dyDescent="0.3">
      <c r="A20" s="118"/>
      <c r="B20" s="119"/>
      <c r="C20" s="3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90">
        <f t="shared" si="0"/>
        <v>0</v>
      </c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</row>
    <row r="21" spans="1:75" x14ac:dyDescent="0.3">
      <c r="A21" s="118"/>
      <c r="B21" s="119"/>
      <c r="C21" s="31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90">
        <f t="shared" si="0"/>
        <v>0</v>
      </c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</row>
    <row r="22" spans="1:75" x14ac:dyDescent="0.3">
      <c r="A22" s="118"/>
      <c r="B22" s="119"/>
      <c r="C22" s="31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90">
        <f t="shared" si="0"/>
        <v>0</v>
      </c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</row>
    <row r="23" spans="1:75" x14ac:dyDescent="0.3">
      <c r="A23" s="118"/>
      <c r="B23" s="119"/>
      <c r="C23" s="3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90">
        <f t="shared" si="0"/>
        <v>0</v>
      </c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</row>
    <row r="24" spans="1:75" x14ac:dyDescent="0.3">
      <c r="A24" s="110" t="s">
        <v>204</v>
      </c>
      <c r="B24" s="111"/>
      <c r="C24" s="9">
        <f t="shared" ref="C24:BK24" si="1">SUM(C9:C23)</f>
        <v>8000000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  <c r="J24" s="9">
        <f t="shared" si="1"/>
        <v>0</v>
      </c>
      <c r="K24" s="9">
        <f t="shared" si="1"/>
        <v>0</v>
      </c>
      <c r="L24" s="9">
        <f t="shared" si="1"/>
        <v>0</v>
      </c>
      <c r="M24" s="9">
        <f t="shared" si="1"/>
        <v>0</v>
      </c>
      <c r="N24" s="9">
        <f t="shared" si="1"/>
        <v>0</v>
      </c>
      <c r="O24" s="9">
        <f t="shared" si="1"/>
        <v>0</v>
      </c>
      <c r="P24" s="9">
        <f t="shared" si="1"/>
        <v>0</v>
      </c>
      <c r="Q24" s="9">
        <f t="shared" si="1"/>
        <v>0</v>
      </c>
      <c r="R24" s="9">
        <f t="shared" si="1"/>
        <v>0</v>
      </c>
      <c r="S24" s="9">
        <f t="shared" si="1"/>
        <v>0</v>
      </c>
      <c r="T24" s="9">
        <f t="shared" si="1"/>
        <v>0</v>
      </c>
      <c r="U24" s="9">
        <f t="shared" si="1"/>
        <v>0</v>
      </c>
      <c r="V24" s="9">
        <f t="shared" si="1"/>
        <v>0</v>
      </c>
      <c r="W24" s="9">
        <f t="shared" si="1"/>
        <v>0</v>
      </c>
      <c r="X24" s="9">
        <f t="shared" si="1"/>
        <v>0</v>
      </c>
      <c r="Y24" s="9">
        <f t="shared" si="1"/>
        <v>0</v>
      </c>
      <c r="Z24" s="9">
        <f t="shared" si="1"/>
        <v>0</v>
      </c>
      <c r="AA24" s="9">
        <f>SUM(AA9:AA23)</f>
        <v>0</v>
      </c>
      <c r="AB24" s="9">
        <f t="shared" si="1"/>
        <v>0</v>
      </c>
      <c r="AC24" s="9">
        <f t="shared" si="1"/>
        <v>0</v>
      </c>
      <c r="AD24" s="9">
        <f t="shared" si="1"/>
        <v>0</v>
      </c>
      <c r="AE24" s="9">
        <f t="shared" si="1"/>
        <v>0</v>
      </c>
      <c r="AF24" s="9">
        <f t="shared" si="1"/>
        <v>0</v>
      </c>
      <c r="AG24" s="9">
        <f t="shared" si="1"/>
        <v>0</v>
      </c>
      <c r="AH24" s="9">
        <f t="shared" si="1"/>
        <v>0</v>
      </c>
      <c r="AI24" s="9">
        <f t="shared" si="1"/>
        <v>0</v>
      </c>
      <c r="AJ24" s="9">
        <f t="shared" si="1"/>
        <v>0</v>
      </c>
      <c r="AK24" s="9">
        <f t="shared" si="1"/>
        <v>0</v>
      </c>
      <c r="AL24" s="9">
        <f t="shared" si="1"/>
        <v>0</v>
      </c>
      <c r="AM24" s="9">
        <f t="shared" si="1"/>
        <v>0</v>
      </c>
      <c r="AN24" s="9">
        <f t="shared" si="1"/>
        <v>0</v>
      </c>
      <c r="AO24" s="9">
        <f t="shared" si="1"/>
        <v>0</v>
      </c>
      <c r="AP24" s="9">
        <f t="shared" si="1"/>
        <v>0</v>
      </c>
      <c r="AQ24" s="9">
        <f t="shared" si="1"/>
        <v>0</v>
      </c>
      <c r="AR24" s="9">
        <f t="shared" si="1"/>
        <v>0</v>
      </c>
      <c r="AS24" s="9">
        <f t="shared" si="1"/>
        <v>0</v>
      </c>
      <c r="AT24" s="9">
        <f t="shared" si="1"/>
        <v>0</v>
      </c>
      <c r="AU24" s="9">
        <f t="shared" si="1"/>
        <v>0</v>
      </c>
      <c r="AV24" s="9">
        <f t="shared" si="1"/>
        <v>0</v>
      </c>
      <c r="AW24" s="9">
        <f t="shared" si="1"/>
        <v>0</v>
      </c>
      <c r="AX24" s="9">
        <f t="shared" si="1"/>
        <v>0</v>
      </c>
      <c r="AY24" s="9">
        <f t="shared" si="1"/>
        <v>0</v>
      </c>
      <c r="AZ24" s="9">
        <f t="shared" si="1"/>
        <v>0</v>
      </c>
      <c r="BA24" s="9">
        <f t="shared" si="1"/>
        <v>0</v>
      </c>
      <c r="BB24" s="9">
        <f t="shared" si="1"/>
        <v>0</v>
      </c>
      <c r="BC24" s="9">
        <f t="shared" si="1"/>
        <v>0</v>
      </c>
      <c r="BD24" s="9">
        <f t="shared" si="1"/>
        <v>0</v>
      </c>
      <c r="BE24" s="9">
        <f t="shared" si="1"/>
        <v>0</v>
      </c>
      <c r="BF24" s="9">
        <f t="shared" si="1"/>
        <v>0</v>
      </c>
      <c r="BG24" s="9">
        <f t="shared" si="1"/>
        <v>0</v>
      </c>
      <c r="BH24" s="9">
        <f t="shared" si="1"/>
        <v>0</v>
      </c>
      <c r="BI24" s="9">
        <f t="shared" si="1"/>
        <v>0</v>
      </c>
      <c r="BJ24" s="9">
        <f t="shared" si="1"/>
        <v>0</v>
      </c>
      <c r="BK24" s="9">
        <f t="shared" si="1"/>
        <v>0</v>
      </c>
      <c r="BL24" s="90">
        <f>SUM(BL9:BL23)</f>
        <v>8000000</v>
      </c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</row>
    <row r="25" spans="1:75" x14ac:dyDescent="0.3">
      <c r="BL25" s="90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</row>
    <row r="26" spans="1:75" hidden="1" x14ac:dyDescent="0.3">
      <c r="A26" s="106" t="s">
        <v>205</v>
      </c>
      <c r="B26" s="107"/>
      <c r="C26" s="11"/>
      <c r="D26" s="103">
        <f>Año1</f>
        <v>2027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>
        <f>Año2</f>
        <v>2028</v>
      </c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>
        <f>Año3</f>
        <v>2029</v>
      </c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>
        <f>Año4</f>
        <v>2030</v>
      </c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>
        <f>Año5</f>
        <v>2031</v>
      </c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90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</row>
    <row r="27" spans="1:75" hidden="1" x14ac:dyDescent="0.3">
      <c r="A27" s="108"/>
      <c r="B27" s="109"/>
      <c r="C27" s="11" t="s">
        <v>196</v>
      </c>
      <c r="D27" s="4" t="s">
        <v>67</v>
      </c>
      <c r="E27" s="4" t="s">
        <v>68</v>
      </c>
      <c r="F27" s="4" t="s">
        <v>69</v>
      </c>
      <c r="G27" s="4" t="s">
        <v>70</v>
      </c>
      <c r="H27" s="4" t="s">
        <v>71</v>
      </c>
      <c r="I27" s="4" t="s">
        <v>72</v>
      </c>
      <c r="J27" s="4" t="s">
        <v>73</v>
      </c>
      <c r="K27" s="4" t="s">
        <v>74</v>
      </c>
      <c r="L27" s="4" t="s">
        <v>75</v>
      </c>
      <c r="M27" s="4" t="s">
        <v>76</v>
      </c>
      <c r="N27" s="4" t="s">
        <v>77</v>
      </c>
      <c r="O27" s="4" t="s">
        <v>78</v>
      </c>
      <c r="P27" s="4" t="s">
        <v>79</v>
      </c>
      <c r="Q27" s="4" t="s">
        <v>80</v>
      </c>
      <c r="R27" s="4" t="s">
        <v>81</v>
      </c>
      <c r="S27" s="4" t="s">
        <v>82</v>
      </c>
      <c r="T27" s="4" t="s">
        <v>83</v>
      </c>
      <c r="U27" s="4" t="s">
        <v>84</v>
      </c>
      <c r="V27" s="4" t="s">
        <v>85</v>
      </c>
      <c r="W27" s="4" t="s">
        <v>86</v>
      </c>
      <c r="X27" s="4" t="s">
        <v>87</v>
      </c>
      <c r="Y27" s="4" t="s">
        <v>88</v>
      </c>
      <c r="Z27" s="4" t="s">
        <v>89</v>
      </c>
      <c r="AA27" s="4" t="s">
        <v>90</v>
      </c>
      <c r="AB27" s="4" t="s">
        <v>91</v>
      </c>
      <c r="AC27" s="4" t="s">
        <v>92</v>
      </c>
      <c r="AD27" s="4" t="s">
        <v>93</v>
      </c>
      <c r="AE27" s="4" t="s">
        <v>94</v>
      </c>
      <c r="AF27" s="4" t="s">
        <v>95</v>
      </c>
      <c r="AG27" s="4" t="s">
        <v>96</v>
      </c>
      <c r="AH27" s="4" t="s">
        <v>97</v>
      </c>
      <c r="AI27" s="4" t="s">
        <v>98</v>
      </c>
      <c r="AJ27" s="4" t="s">
        <v>99</v>
      </c>
      <c r="AK27" s="4" t="s">
        <v>100</v>
      </c>
      <c r="AL27" s="4" t="s">
        <v>101</v>
      </c>
      <c r="AM27" s="4" t="s">
        <v>102</v>
      </c>
      <c r="AN27" s="4" t="s">
        <v>103</v>
      </c>
      <c r="AO27" s="4" t="s">
        <v>104</v>
      </c>
      <c r="AP27" s="4" t="s">
        <v>105</v>
      </c>
      <c r="AQ27" s="4" t="s">
        <v>106</v>
      </c>
      <c r="AR27" s="4" t="s">
        <v>107</v>
      </c>
      <c r="AS27" s="4" t="s">
        <v>108</v>
      </c>
      <c r="AT27" s="4" t="s">
        <v>109</v>
      </c>
      <c r="AU27" s="4" t="s">
        <v>110</v>
      </c>
      <c r="AV27" s="4" t="s">
        <v>111</v>
      </c>
      <c r="AW27" s="4" t="s">
        <v>112</v>
      </c>
      <c r="AX27" s="4" t="s">
        <v>113</v>
      </c>
      <c r="AY27" s="4" t="s">
        <v>114</v>
      </c>
      <c r="AZ27" s="4" t="s">
        <v>115</v>
      </c>
      <c r="BA27" s="4" t="s">
        <v>116</v>
      </c>
      <c r="BB27" s="4" t="s">
        <v>117</v>
      </c>
      <c r="BC27" s="4" t="s">
        <v>118</v>
      </c>
      <c r="BD27" s="4" t="s">
        <v>119</v>
      </c>
      <c r="BE27" s="4" t="s">
        <v>120</v>
      </c>
      <c r="BF27" s="4" t="s">
        <v>121</v>
      </c>
      <c r="BG27" s="4" t="s">
        <v>122</v>
      </c>
      <c r="BH27" s="4" t="s">
        <v>123</v>
      </c>
      <c r="BI27" s="4" t="s">
        <v>124</v>
      </c>
      <c r="BJ27" s="4" t="s">
        <v>125</v>
      </c>
      <c r="BK27" s="4" t="s">
        <v>126</v>
      </c>
      <c r="BL27" s="90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</row>
    <row r="28" spans="1:75" hidden="1" x14ac:dyDescent="0.3">
      <c r="A28" s="115" t="s">
        <v>206</v>
      </c>
      <c r="B28" s="116"/>
      <c r="C28" s="70" t="e">
        <f>#REF!</f>
        <v>#REF!</v>
      </c>
      <c r="D28" s="70" t="e">
        <f>#REF!</f>
        <v>#REF!</v>
      </c>
      <c r="E28" s="70" t="e">
        <f>#REF!</f>
        <v>#REF!</v>
      </c>
      <c r="F28" s="70" t="e">
        <f>#REF!</f>
        <v>#REF!</v>
      </c>
      <c r="G28" s="70" t="e">
        <f>#REF!</f>
        <v>#REF!</v>
      </c>
      <c r="H28" s="70" t="e">
        <f>#REF!</f>
        <v>#REF!</v>
      </c>
      <c r="I28" s="70" t="e">
        <f>#REF!</f>
        <v>#REF!</v>
      </c>
      <c r="J28" s="70" t="e">
        <f>#REF!</f>
        <v>#REF!</v>
      </c>
      <c r="K28" s="70" t="e">
        <f>#REF!</f>
        <v>#REF!</v>
      </c>
      <c r="L28" s="70" t="e">
        <f>#REF!</f>
        <v>#REF!</v>
      </c>
      <c r="M28" s="70" t="e">
        <f>#REF!</f>
        <v>#REF!</v>
      </c>
      <c r="N28" s="70" t="e">
        <f>#REF!</f>
        <v>#REF!</v>
      </c>
      <c r="O28" s="70" t="e">
        <f>#REF!</f>
        <v>#REF!</v>
      </c>
      <c r="P28" s="71" t="e">
        <f>#REF!</f>
        <v>#REF!</v>
      </c>
      <c r="Q28" s="71" t="e">
        <f>#REF!</f>
        <v>#REF!</v>
      </c>
      <c r="R28" s="71" t="e">
        <f>#REF!</f>
        <v>#REF!</v>
      </c>
      <c r="S28" s="71" t="e">
        <f>#REF!</f>
        <v>#REF!</v>
      </c>
      <c r="T28" s="71" t="e">
        <f>#REF!</f>
        <v>#REF!</v>
      </c>
      <c r="U28" s="71" t="e">
        <f>#REF!</f>
        <v>#REF!</v>
      </c>
      <c r="V28" s="71" t="e">
        <f>#REF!</f>
        <v>#REF!</v>
      </c>
      <c r="W28" s="71" t="e">
        <f>#REF!</f>
        <v>#REF!</v>
      </c>
      <c r="X28" s="71" t="e">
        <f>#REF!</f>
        <v>#REF!</v>
      </c>
      <c r="Y28" s="71" t="e">
        <f>#REF!</f>
        <v>#REF!</v>
      </c>
      <c r="Z28" s="71" t="e">
        <f>#REF!</f>
        <v>#REF!</v>
      </c>
      <c r="AA28" s="71" t="e">
        <f>#REF!</f>
        <v>#REF!</v>
      </c>
      <c r="AB28" s="71" t="e">
        <f>#REF!</f>
        <v>#REF!</v>
      </c>
      <c r="AC28" s="71" t="e">
        <f>#REF!</f>
        <v>#REF!</v>
      </c>
      <c r="AD28" s="71" t="e">
        <f>#REF!</f>
        <v>#REF!</v>
      </c>
      <c r="AE28" s="71" t="e">
        <f>#REF!</f>
        <v>#REF!</v>
      </c>
      <c r="AF28" s="71" t="e">
        <f>#REF!</f>
        <v>#REF!</v>
      </c>
      <c r="AG28" s="71" t="e">
        <f>#REF!</f>
        <v>#REF!</v>
      </c>
      <c r="AH28" s="71" t="e">
        <f>#REF!</f>
        <v>#REF!</v>
      </c>
      <c r="AI28" s="71" t="e">
        <f>#REF!</f>
        <v>#REF!</v>
      </c>
      <c r="AJ28" s="71" t="e">
        <f>#REF!</f>
        <v>#REF!</v>
      </c>
      <c r="AK28" s="71" t="e">
        <f>#REF!</f>
        <v>#REF!</v>
      </c>
      <c r="AL28" s="71" t="e">
        <f>#REF!</f>
        <v>#REF!</v>
      </c>
      <c r="AM28" s="71" t="e">
        <f>#REF!</f>
        <v>#REF!</v>
      </c>
      <c r="AN28" s="71" t="e">
        <f>#REF!</f>
        <v>#REF!</v>
      </c>
      <c r="AO28" s="71" t="e">
        <f>#REF!</f>
        <v>#REF!</v>
      </c>
      <c r="AP28" s="71" t="e">
        <f>#REF!</f>
        <v>#REF!</v>
      </c>
      <c r="AQ28" s="71" t="e">
        <f>#REF!</f>
        <v>#REF!</v>
      </c>
      <c r="AR28" s="71" t="e">
        <f>#REF!</f>
        <v>#REF!</v>
      </c>
      <c r="AS28" s="71" t="e">
        <f>#REF!</f>
        <v>#REF!</v>
      </c>
      <c r="AT28" s="71" t="e">
        <f>#REF!</f>
        <v>#REF!</v>
      </c>
      <c r="AU28" s="71" t="e">
        <f>#REF!</f>
        <v>#REF!</v>
      </c>
      <c r="AV28" s="71" t="e">
        <f>#REF!</f>
        <v>#REF!</v>
      </c>
      <c r="AW28" s="71" t="e">
        <f>#REF!</f>
        <v>#REF!</v>
      </c>
      <c r="AX28" s="71" t="e">
        <f>#REF!</f>
        <v>#REF!</v>
      </c>
      <c r="AY28" s="71" t="e">
        <f>#REF!</f>
        <v>#REF!</v>
      </c>
      <c r="AZ28" s="71" t="e">
        <f>#REF!</f>
        <v>#REF!</v>
      </c>
      <c r="BA28" s="71" t="e">
        <f>#REF!</f>
        <v>#REF!</v>
      </c>
      <c r="BB28" s="71" t="e">
        <f>#REF!</f>
        <v>#REF!</v>
      </c>
      <c r="BC28" s="71" t="e">
        <f>#REF!</f>
        <v>#REF!</v>
      </c>
      <c r="BD28" s="71" t="e">
        <f>#REF!</f>
        <v>#REF!</v>
      </c>
      <c r="BE28" s="71" t="e">
        <f>#REF!</f>
        <v>#REF!</v>
      </c>
      <c r="BF28" s="71" t="e">
        <f>#REF!</f>
        <v>#REF!</v>
      </c>
      <c r="BG28" s="71" t="e">
        <f>#REF!</f>
        <v>#REF!</v>
      </c>
      <c r="BH28" s="71" t="e">
        <f>#REF!</f>
        <v>#REF!</v>
      </c>
      <c r="BI28" s="71" t="e">
        <f>#REF!</f>
        <v>#REF!</v>
      </c>
      <c r="BJ28" s="71" t="e">
        <f>#REF!</f>
        <v>#REF!</v>
      </c>
      <c r="BK28" s="71" t="e">
        <f>#REF!</f>
        <v>#REF!</v>
      </c>
      <c r="BL28" s="90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</row>
    <row r="29" spans="1:75" hidden="1" x14ac:dyDescent="0.3">
      <c r="BL29" s="90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</row>
    <row r="30" spans="1:75" x14ac:dyDescent="0.3">
      <c r="A30" s="123" t="s">
        <v>207</v>
      </c>
      <c r="B30" s="121" t="s">
        <v>208</v>
      </c>
      <c r="C30" s="11"/>
      <c r="D30" s="103">
        <f>Año1</f>
        <v>2027</v>
      </c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>
        <f>Año2</f>
        <v>2028</v>
      </c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>
        <f>Año3</f>
        <v>2029</v>
      </c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>
        <f>Año4</f>
        <v>2030</v>
      </c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>
        <f>Año5</f>
        <v>2031</v>
      </c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90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</row>
    <row r="31" spans="1:75" x14ac:dyDescent="0.3">
      <c r="A31" s="123"/>
      <c r="B31" s="122"/>
      <c r="C31" s="11" t="s">
        <v>196</v>
      </c>
      <c r="D31" s="4" t="s">
        <v>67</v>
      </c>
      <c r="E31" s="4" t="s">
        <v>68</v>
      </c>
      <c r="F31" s="4" t="s">
        <v>69</v>
      </c>
      <c r="G31" s="4" t="s">
        <v>70</v>
      </c>
      <c r="H31" s="4" t="s">
        <v>71</v>
      </c>
      <c r="I31" s="4" t="s">
        <v>72</v>
      </c>
      <c r="J31" s="4" t="s">
        <v>73</v>
      </c>
      <c r="K31" s="4" t="s">
        <v>74</v>
      </c>
      <c r="L31" s="4" t="s">
        <v>75</v>
      </c>
      <c r="M31" s="4" t="s">
        <v>76</v>
      </c>
      <c r="N31" s="4" t="s">
        <v>77</v>
      </c>
      <c r="O31" s="4" t="s">
        <v>78</v>
      </c>
      <c r="P31" s="4" t="s">
        <v>79</v>
      </c>
      <c r="Q31" s="4" t="s">
        <v>80</v>
      </c>
      <c r="R31" s="4" t="s">
        <v>81</v>
      </c>
      <c r="S31" s="4" t="s">
        <v>82</v>
      </c>
      <c r="T31" s="4" t="s">
        <v>83</v>
      </c>
      <c r="U31" s="4" t="s">
        <v>84</v>
      </c>
      <c r="V31" s="4" t="s">
        <v>85</v>
      </c>
      <c r="W31" s="4" t="s">
        <v>86</v>
      </c>
      <c r="X31" s="4" t="s">
        <v>87</v>
      </c>
      <c r="Y31" s="4" t="s">
        <v>88</v>
      </c>
      <c r="Z31" s="4" t="s">
        <v>89</v>
      </c>
      <c r="AA31" s="4" t="s">
        <v>90</v>
      </c>
      <c r="AB31" s="4" t="s">
        <v>91</v>
      </c>
      <c r="AC31" s="4" t="s">
        <v>92</v>
      </c>
      <c r="AD31" s="4" t="s">
        <v>93</v>
      </c>
      <c r="AE31" s="4" t="s">
        <v>94</v>
      </c>
      <c r="AF31" s="4" t="s">
        <v>95</v>
      </c>
      <c r="AG31" s="4" t="s">
        <v>96</v>
      </c>
      <c r="AH31" s="4" t="s">
        <v>97</v>
      </c>
      <c r="AI31" s="4" t="s">
        <v>98</v>
      </c>
      <c r="AJ31" s="4" t="s">
        <v>99</v>
      </c>
      <c r="AK31" s="4" t="s">
        <v>100</v>
      </c>
      <c r="AL31" s="4" t="s">
        <v>101</v>
      </c>
      <c r="AM31" s="4" t="s">
        <v>102</v>
      </c>
      <c r="AN31" s="4" t="s">
        <v>103</v>
      </c>
      <c r="AO31" s="4" t="s">
        <v>104</v>
      </c>
      <c r="AP31" s="4" t="s">
        <v>105</v>
      </c>
      <c r="AQ31" s="4" t="s">
        <v>106</v>
      </c>
      <c r="AR31" s="4" t="s">
        <v>107</v>
      </c>
      <c r="AS31" s="4" t="s">
        <v>108</v>
      </c>
      <c r="AT31" s="4" t="s">
        <v>109</v>
      </c>
      <c r="AU31" s="4" t="s">
        <v>110</v>
      </c>
      <c r="AV31" s="4" t="s">
        <v>111</v>
      </c>
      <c r="AW31" s="4" t="s">
        <v>112</v>
      </c>
      <c r="AX31" s="4" t="s">
        <v>113</v>
      </c>
      <c r="AY31" s="4" t="s">
        <v>114</v>
      </c>
      <c r="AZ31" s="4" t="s">
        <v>115</v>
      </c>
      <c r="BA31" s="4" t="s">
        <v>116</v>
      </c>
      <c r="BB31" s="4" t="s">
        <v>117</v>
      </c>
      <c r="BC31" s="4" t="s">
        <v>118</v>
      </c>
      <c r="BD31" s="4" t="s">
        <v>119</v>
      </c>
      <c r="BE31" s="4" t="s">
        <v>120</v>
      </c>
      <c r="BF31" s="4" t="s">
        <v>121</v>
      </c>
      <c r="BG31" s="4" t="s">
        <v>122</v>
      </c>
      <c r="BH31" s="4" t="s">
        <v>123</v>
      </c>
      <c r="BI31" s="4" t="s">
        <v>124</v>
      </c>
      <c r="BJ31" s="4" t="s">
        <v>125</v>
      </c>
      <c r="BK31" s="4" t="s">
        <v>126</v>
      </c>
      <c r="BL31" s="90"/>
      <c r="BM31" s="89" t="s">
        <v>209</v>
      </c>
      <c r="BN31" s="89" t="s">
        <v>210</v>
      </c>
      <c r="BO31" s="89" t="s">
        <v>211</v>
      </c>
      <c r="BP31" s="89"/>
      <c r="BQ31" s="89"/>
      <c r="BR31" s="89"/>
      <c r="BS31" s="89"/>
      <c r="BT31" s="89"/>
      <c r="BU31" s="89"/>
      <c r="BV31" s="89"/>
      <c r="BW31" s="89"/>
    </row>
    <row r="32" spans="1:75" x14ac:dyDescent="0.3">
      <c r="A32" s="15"/>
      <c r="B32" s="22"/>
      <c r="C32" s="23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90">
        <f t="shared" si="0"/>
        <v>0</v>
      </c>
      <c r="BM32" s="91" t="e">
        <f>BL32/$BL$47</f>
        <v>#DIV/0!</v>
      </c>
      <c r="BN32" s="91">
        <f>(1+B32)^(12/1)-1</f>
        <v>0</v>
      </c>
      <c r="BO32" s="92">
        <f>IF(BL32&lt;=0,0,BM32*BN32)</f>
        <v>0</v>
      </c>
      <c r="BP32" s="89"/>
      <c r="BQ32" s="89"/>
      <c r="BR32" s="89"/>
      <c r="BS32" s="89"/>
      <c r="BT32" s="89"/>
      <c r="BU32" s="89"/>
      <c r="BV32" s="89"/>
      <c r="BW32" s="89"/>
    </row>
    <row r="33" spans="1:75" x14ac:dyDescent="0.3">
      <c r="A33" s="15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90">
        <f t="shared" si="0"/>
        <v>0</v>
      </c>
      <c r="BM33" s="91" t="e">
        <f t="shared" ref="BM33:BM46" si="2">BL33/$BL$47</f>
        <v>#DIV/0!</v>
      </c>
      <c r="BN33" s="91">
        <f>(1+B33)^(12/1)-1</f>
        <v>0</v>
      </c>
      <c r="BO33" s="92">
        <f t="shared" ref="BO33:BO46" si="3">IF(BL33&lt;=0,0,BM33*BN33)</f>
        <v>0</v>
      </c>
      <c r="BP33" s="89"/>
      <c r="BQ33" s="89"/>
      <c r="BR33" s="89"/>
      <c r="BS33" s="89"/>
      <c r="BT33" s="89"/>
      <c r="BU33" s="89"/>
      <c r="BV33" s="89"/>
      <c r="BW33" s="89"/>
    </row>
    <row r="34" spans="1:75" x14ac:dyDescent="0.3">
      <c r="A34" s="15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90">
        <f t="shared" si="0"/>
        <v>0</v>
      </c>
      <c r="BM34" s="91" t="e">
        <f t="shared" si="2"/>
        <v>#DIV/0!</v>
      </c>
      <c r="BN34" s="91">
        <f t="shared" ref="BN34:BN46" si="4">(1+B34)^(12/1)-1</f>
        <v>0</v>
      </c>
      <c r="BO34" s="92">
        <f t="shared" si="3"/>
        <v>0</v>
      </c>
      <c r="BP34" s="89"/>
      <c r="BQ34" s="89"/>
      <c r="BR34" s="89"/>
      <c r="BS34" s="89"/>
      <c r="BT34" s="89"/>
      <c r="BU34" s="89"/>
      <c r="BV34" s="89"/>
      <c r="BW34" s="89"/>
    </row>
    <row r="35" spans="1:75" x14ac:dyDescent="0.3">
      <c r="A35" s="15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90">
        <f t="shared" si="0"/>
        <v>0</v>
      </c>
      <c r="BM35" s="91" t="e">
        <f t="shared" si="2"/>
        <v>#DIV/0!</v>
      </c>
      <c r="BN35" s="91">
        <f t="shared" si="4"/>
        <v>0</v>
      </c>
      <c r="BO35" s="92">
        <f t="shared" si="3"/>
        <v>0</v>
      </c>
      <c r="BP35" s="89"/>
      <c r="BQ35" s="89"/>
      <c r="BR35" s="89"/>
      <c r="BS35" s="89"/>
      <c r="BT35" s="89"/>
      <c r="BU35" s="89"/>
      <c r="BV35" s="89"/>
      <c r="BW35" s="89"/>
    </row>
    <row r="36" spans="1:75" x14ac:dyDescent="0.3">
      <c r="A36" s="15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90">
        <f t="shared" si="0"/>
        <v>0</v>
      </c>
      <c r="BM36" s="91" t="e">
        <f t="shared" si="2"/>
        <v>#DIV/0!</v>
      </c>
      <c r="BN36" s="91">
        <f t="shared" si="4"/>
        <v>0</v>
      </c>
      <c r="BO36" s="92">
        <f t="shared" si="3"/>
        <v>0</v>
      </c>
      <c r="BP36" s="89"/>
      <c r="BQ36" s="89"/>
      <c r="BR36" s="89"/>
      <c r="BS36" s="89"/>
      <c r="BT36" s="89"/>
      <c r="BU36" s="89"/>
      <c r="BV36" s="89"/>
      <c r="BW36" s="89"/>
    </row>
    <row r="37" spans="1:75" x14ac:dyDescent="0.3">
      <c r="A37" s="15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90">
        <f t="shared" si="0"/>
        <v>0</v>
      </c>
      <c r="BM37" s="91" t="e">
        <f t="shared" si="2"/>
        <v>#DIV/0!</v>
      </c>
      <c r="BN37" s="91">
        <f t="shared" si="4"/>
        <v>0</v>
      </c>
      <c r="BO37" s="92">
        <f t="shared" si="3"/>
        <v>0</v>
      </c>
      <c r="BP37" s="89"/>
      <c r="BQ37" s="89"/>
      <c r="BR37" s="89"/>
      <c r="BS37" s="89"/>
      <c r="BT37" s="89"/>
      <c r="BU37" s="89"/>
      <c r="BV37" s="89"/>
      <c r="BW37" s="89"/>
    </row>
    <row r="38" spans="1:75" x14ac:dyDescent="0.3">
      <c r="A38" s="15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90">
        <f t="shared" si="0"/>
        <v>0</v>
      </c>
      <c r="BM38" s="91" t="e">
        <f t="shared" si="2"/>
        <v>#DIV/0!</v>
      </c>
      <c r="BN38" s="91">
        <f t="shared" si="4"/>
        <v>0</v>
      </c>
      <c r="BO38" s="92">
        <f t="shared" si="3"/>
        <v>0</v>
      </c>
      <c r="BP38" s="89"/>
      <c r="BQ38" s="89"/>
      <c r="BR38" s="89"/>
      <c r="BS38" s="89"/>
      <c r="BT38" s="89"/>
      <c r="BU38" s="89"/>
      <c r="BV38" s="89"/>
      <c r="BW38" s="89"/>
    </row>
    <row r="39" spans="1:75" x14ac:dyDescent="0.3">
      <c r="A39" s="15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90">
        <f t="shared" si="0"/>
        <v>0</v>
      </c>
      <c r="BM39" s="91" t="e">
        <f t="shared" si="2"/>
        <v>#DIV/0!</v>
      </c>
      <c r="BN39" s="91">
        <f t="shared" si="4"/>
        <v>0</v>
      </c>
      <c r="BO39" s="92">
        <f t="shared" si="3"/>
        <v>0</v>
      </c>
      <c r="BP39" s="89"/>
      <c r="BQ39" s="89"/>
      <c r="BR39" s="89"/>
      <c r="BS39" s="89"/>
      <c r="BT39" s="89"/>
      <c r="BU39" s="89"/>
      <c r="BV39" s="89"/>
      <c r="BW39" s="89"/>
    </row>
    <row r="40" spans="1:75" x14ac:dyDescent="0.3">
      <c r="A40" s="15"/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90">
        <f t="shared" si="0"/>
        <v>0</v>
      </c>
      <c r="BM40" s="91" t="e">
        <f t="shared" si="2"/>
        <v>#DIV/0!</v>
      </c>
      <c r="BN40" s="91">
        <f t="shared" si="4"/>
        <v>0</v>
      </c>
      <c r="BO40" s="92">
        <f t="shared" si="3"/>
        <v>0</v>
      </c>
      <c r="BP40" s="89"/>
      <c r="BQ40" s="89"/>
      <c r="BR40" s="89"/>
      <c r="BS40" s="89"/>
      <c r="BT40" s="89"/>
      <c r="BU40" s="89"/>
      <c r="BV40" s="89"/>
      <c r="BW40" s="89"/>
    </row>
    <row r="41" spans="1:75" x14ac:dyDescent="0.3">
      <c r="A41" s="15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90">
        <f t="shared" si="0"/>
        <v>0</v>
      </c>
      <c r="BM41" s="91" t="e">
        <f t="shared" si="2"/>
        <v>#DIV/0!</v>
      </c>
      <c r="BN41" s="91">
        <f t="shared" si="4"/>
        <v>0</v>
      </c>
      <c r="BO41" s="92">
        <f t="shared" si="3"/>
        <v>0</v>
      </c>
      <c r="BP41" s="89"/>
      <c r="BQ41" s="89"/>
      <c r="BR41" s="89"/>
      <c r="BS41" s="89"/>
      <c r="BT41" s="89"/>
      <c r="BU41" s="89"/>
      <c r="BV41" s="89"/>
      <c r="BW41" s="89"/>
    </row>
    <row r="42" spans="1:75" x14ac:dyDescent="0.3">
      <c r="A42" s="15"/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90">
        <f t="shared" si="0"/>
        <v>0</v>
      </c>
      <c r="BM42" s="91" t="e">
        <f t="shared" si="2"/>
        <v>#DIV/0!</v>
      </c>
      <c r="BN42" s="91">
        <f t="shared" si="4"/>
        <v>0</v>
      </c>
      <c r="BO42" s="92">
        <f t="shared" si="3"/>
        <v>0</v>
      </c>
      <c r="BP42" s="89"/>
      <c r="BQ42" s="89"/>
      <c r="BR42" s="89"/>
      <c r="BS42" s="89"/>
      <c r="BT42" s="89"/>
      <c r="BU42" s="89"/>
      <c r="BV42" s="89"/>
      <c r="BW42" s="89"/>
    </row>
    <row r="43" spans="1:75" x14ac:dyDescent="0.3">
      <c r="A43" s="15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90">
        <f t="shared" si="0"/>
        <v>0</v>
      </c>
      <c r="BM43" s="91" t="e">
        <f t="shared" si="2"/>
        <v>#DIV/0!</v>
      </c>
      <c r="BN43" s="91">
        <f t="shared" si="4"/>
        <v>0</v>
      </c>
      <c r="BO43" s="92">
        <f t="shared" si="3"/>
        <v>0</v>
      </c>
      <c r="BP43" s="89"/>
      <c r="BQ43" s="89"/>
      <c r="BR43" s="89"/>
      <c r="BS43" s="89"/>
      <c r="BT43" s="89"/>
      <c r="BU43" s="89"/>
      <c r="BV43" s="89"/>
      <c r="BW43" s="89"/>
    </row>
    <row r="44" spans="1:75" x14ac:dyDescent="0.3">
      <c r="A44" s="15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90">
        <f t="shared" si="0"/>
        <v>0</v>
      </c>
      <c r="BM44" s="91" t="e">
        <f t="shared" si="2"/>
        <v>#DIV/0!</v>
      </c>
      <c r="BN44" s="91">
        <f t="shared" si="4"/>
        <v>0</v>
      </c>
      <c r="BO44" s="92">
        <f t="shared" si="3"/>
        <v>0</v>
      </c>
      <c r="BP44" s="89"/>
      <c r="BQ44" s="89"/>
      <c r="BR44" s="89"/>
      <c r="BS44" s="89"/>
      <c r="BT44" s="89"/>
      <c r="BU44" s="89"/>
      <c r="BV44" s="89"/>
      <c r="BW44" s="89"/>
    </row>
    <row r="45" spans="1:75" x14ac:dyDescent="0.3">
      <c r="A45" s="15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90">
        <f t="shared" si="0"/>
        <v>0</v>
      </c>
      <c r="BM45" s="91" t="e">
        <f t="shared" si="2"/>
        <v>#DIV/0!</v>
      </c>
      <c r="BN45" s="91">
        <f t="shared" si="4"/>
        <v>0</v>
      </c>
      <c r="BO45" s="92">
        <f t="shared" si="3"/>
        <v>0</v>
      </c>
      <c r="BP45" s="89"/>
      <c r="BQ45" s="89"/>
      <c r="BR45" s="89"/>
      <c r="BS45" s="89"/>
      <c r="BT45" s="89"/>
      <c r="BU45" s="89"/>
      <c r="BV45" s="89"/>
      <c r="BW45" s="89"/>
    </row>
    <row r="46" spans="1:75" x14ac:dyDescent="0.3">
      <c r="A46" s="15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90">
        <f t="shared" si="0"/>
        <v>0</v>
      </c>
      <c r="BM46" s="91" t="e">
        <f t="shared" si="2"/>
        <v>#DIV/0!</v>
      </c>
      <c r="BN46" s="91">
        <f t="shared" si="4"/>
        <v>0</v>
      </c>
      <c r="BO46" s="92">
        <f t="shared" si="3"/>
        <v>0</v>
      </c>
      <c r="BP46" s="89"/>
      <c r="BQ46" s="89"/>
      <c r="BR46" s="89"/>
      <c r="BS46" s="89"/>
      <c r="BT46" s="89"/>
      <c r="BU46" s="89"/>
      <c r="BV46" s="89"/>
      <c r="BW46" s="89"/>
    </row>
    <row r="47" spans="1:75" x14ac:dyDescent="0.3">
      <c r="A47" s="110" t="s">
        <v>212</v>
      </c>
      <c r="B47" s="111"/>
      <c r="C47" s="9">
        <f t="shared" ref="C47:AH47" si="5">SUM(C32:C46)</f>
        <v>0</v>
      </c>
      <c r="D47" s="9">
        <f t="shared" si="5"/>
        <v>0</v>
      </c>
      <c r="E47" s="9">
        <f t="shared" si="5"/>
        <v>0</v>
      </c>
      <c r="F47" s="9">
        <f t="shared" si="5"/>
        <v>0</v>
      </c>
      <c r="G47" s="9">
        <f t="shared" si="5"/>
        <v>0</v>
      </c>
      <c r="H47" s="9">
        <f t="shared" si="5"/>
        <v>0</v>
      </c>
      <c r="I47" s="9">
        <f t="shared" si="5"/>
        <v>0</v>
      </c>
      <c r="J47" s="9">
        <f t="shared" si="5"/>
        <v>0</v>
      </c>
      <c r="K47" s="9">
        <f t="shared" si="5"/>
        <v>0</v>
      </c>
      <c r="L47" s="9">
        <f t="shared" si="5"/>
        <v>0</v>
      </c>
      <c r="M47" s="9">
        <f t="shared" si="5"/>
        <v>0</v>
      </c>
      <c r="N47" s="9">
        <f t="shared" si="5"/>
        <v>0</v>
      </c>
      <c r="O47" s="9">
        <f t="shared" si="5"/>
        <v>0</v>
      </c>
      <c r="P47" s="9">
        <f t="shared" si="5"/>
        <v>0</v>
      </c>
      <c r="Q47" s="9">
        <f t="shared" si="5"/>
        <v>0</v>
      </c>
      <c r="R47" s="9">
        <f t="shared" si="5"/>
        <v>0</v>
      </c>
      <c r="S47" s="9">
        <f t="shared" si="5"/>
        <v>0</v>
      </c>
      <c r="T47" s="9">
        <f t="shared" si="5"/>
        <v>0</v>
      </c>
      <c r="U47" s="9">
        <f t="shared" si="5"/>
        <v>0</v>
      </c>
      <c r="V47" s="9">
        <f t="shared" si="5"/>
        <v>0</v>
      </c>
      <c r="W47" s="9">
        <f t="shared" si="5"/>
        <v>0</v>
      </c>
      <c r="X47" s="9">
        <f t="shared" si="5"/>
        <v>0</v>
      </c>
      <c r="Y47" s="9">
        <f t="shared" si="5"/>
        <v>0</v>
      </c>
      <c r="Z47" s="9">
        <f t="shared" si="5"/>
        <v>0</v>
      </c>
      <c r="AA47" s="9">
        <f t="shared" si="5"/>
        <v>0</v>
      </c>
      <c r="AB47" s="9">
        <f t="shared" si="5"/>
        <v>0</v>
      </c>
      <c r="AC47" s="9">
        <f t="shared" si="5"/>
        <v>0</v>
      </c>
      <c r="AD47" s="9">
        <f t="shared" si="5"/>
        <v>0</v>
      </c>
      <c r="AE47" s="9">
        <f t="shared" si="5"/>
        <v>0</v>
      </c>
      <c r="AF47" s="9">
        <f t="shared" si="5"/>
        <v>0</v>
      </c>
      <c r="AG47" s="9">
        <f t="shared" si="5"/>
        <v>0</v>
      </c>
      <c r="AH47" s="9">
        <f t="shared" si="5"/>
        <v>0</v>
      </c>
      <c r="AI47" s="9">
        <f t="shared" ref="AI47:BK47" si="6">SUM(AI32:AI46)</f>
        <v>0</v>
      </c>
      <c r="AJ47" s="9">
        <f t="shared" si="6"/>
        <v>0</v>
      </c>
      <c r="AK47" s="9">
        <f t="shared" si="6"/>
        <v>0</v>
      </c>
      <c r="AL47" s="9">
        <f t="shared" si="6"/>
        <v>0</v>
      </c>
      <c r="AM47" s="9">
        <f t="shared" si="6"/>
        <v>0</v>
      </c>
      <c r="AN47" s="9">
        <f t="shared" si="6"/>
        <v>0</v>
      </c>
      <c r="AO47" s="9">
        <f t="shared" si="6"/>
        <v>0</v>
      </c>
      <c r="AP47" s="9">
        <f t="shared" si="6"/>
        <v>0</v>
      </c>
      <c r="AQ47" s="9">
        <f t="shared" si="6"/>
        <v>0</v>
      </c>
      <c r="AR47" s="9">
        <f t="shared" si="6"/>
        <v>0</v>
      </c>
      <c r="AS47" s="9">
        <f t="shared" si="6"/>
        <v>0</v>
      </c>
      <c r="AT47" s="9">
        <f t="shared" si="6"/>
        <v>0</v>
      </c>
      <c r="AU47" s="9">
        <f t="shared" si="6"/>
        <v>0</v>
      </c>
      <c r="AV47" s="9">
        <f t="shared" si="6"/>
        <v>0</v>
      </c>
      <c r="AW47" s="9">
        <f t="shared" si="6"/>
        <v>0</v>
      </c>
      <c r="AX47" s="9">
        <f t="shared" si="6"/>
        <v>0</v>
      </c>
      <c r="AY47" s="9">
        <f t="shared" si="6"/>
        <v>0</v>
      </c>
      <c r="AZ47" s="9">
        <f t="shared" si="6"/>
        <v>0</v>
      </c>
      <c r="BA47" s="9">
        <f t="shared" si="6"/>
        <v>0</v>
      </c>
      <c r="BB47" s="9">
        <f t="shared" si="6"/>
        <v>0</v>
      </c>
      <c r="BC47" s="9">
        <f t="shared" si="6"/>
        <v>0</v>
      </c>
      <c r="BD47" s="9">
        <f t="shared" si="6"/>
        <v>0</v>
      </c>
      <c r="BE47" s="9">
        <f t="shared" si="6"/>
        <v>0</v>
      </c>
      <c r="BF47" s="9">
        <f t="shared" si="6"/>
        <v>0</v>
      </c>
      <c r="BG47" s="9">
        <f t="shared" si="6"/>
        <v>0</v>
      </c>
      <c r="BH47" s="9">
        <f t="shared" si="6"/>
        <v>0</v>
      </c>
      <c r="BI47" s="9">
        <f t="shared" si="6"/>
        <v>0</v>
      </c>
      <c r="BJ47" s="9">
        <f t="shared" si="6"/>
        <v>0</v>
      </c>
      <c r="BK47" s="9">
        <f t="shared" si="6"/>
        <v>0</v>
      </c>
      <c r="BL47" s="90">
        <f>SUM(BL32:BL46)</f>
        <v>0</v>
      </c>
      <c r="BM47" s="89"/>
      <c r="BN47" s="89" t="s">
        <v>213</v>
      </c>
      <c r="BO47" s="91">
        <f>SUM(BO32:BO46)</f>
        <v>0</v>
      </c>
      <c r="BP47" s="89"/>
      <c r="BQ47" s="89"/>
      <c r="BR47" s="89"/>
      <c r="BS47" s="89"/>
      <c r="BT47" s="89"/>
      <c r="BU47" s="89"/>
      <c r="BV47" s="89"/>
      <c r="BW47" s="89"/>
    </row>
    <row r="48" spans="1:75" x14ac:dyDescent="0.3"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</row>
    <row r="49" spans="1:75" hidden="1" x14ac:dyDescent="0.3">
      <c r="A49" s="106" t="s">
        <v>214</v>
      </c>
      <c r="B49" s="107"/>
      <c r="C49" s="11"/>
      <c r="D49" s="103">
        <f>Año1</f>
        <v>2027</v>
      </c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>
        <f>Año2</f>
        <v>2028</v>
      </c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>
        <f>Año3</f>
        <v>2029</v>
      </c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>
        <f>Año4</f>
        <v>2030</v>
      </c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>
        <f>Año5</f>
        <v>2031</v>
      </c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>
        <f>AZ49+1</f>
        <v>2032</v>
      </c>
      <c r="BM49" s="103"/>
      <c r="BN49" s="103"/>
      <c r="BO49" s="103"/>
      <c r="BP49" s="103"/>
      <c r="BQ49" s="103"/>
      <c r="BR49" s="103"/>
      <c r="BS49" s="103"/>
      <c r="BT49" s="103"/>
      <c r="BU49" s="103"/>
      <c r="BV49" s="103"/>
      <c r="BW49" s="103"/>
    </row>
    <row r="50" spans="1:75" hidden="1" x14ac:dyDescent="0.3">
      <c r="A50" s="108"/>
      <c r="B50" s="109"/>
      <c r="C50" s="11" t="s">
        <v>196</v>
      </c>
      <c r="D50" s="4" t="s">
        <v>67</v>
      </c>
      <c r="E50" s="4" t="s">
        <v>68</v>
      </c>
      <c r="F50" s="4" t="s">
        <v>69</v>
      </c>
      <c r="G50" s="4" t="s">
        <v>70</v>
      </c>
      <c r="H50" s="4" t="s">
        <v>71</v>
      </c>
      <c r="I50" s="4" t="s">
        <v>72</v>
      </c>
      <c r="J50" s="4" t="s">
        <v>73</v>
      </c>
      <c r="K50" s="4" t="s">
        <v>74</v>
      </c>
      <c r="L50" s="4" t="s">
        <v>75</v>
      </c>
      <c r="M50" s="4" t="s">
        <v>76</v>
      </c>
      <c r="N50" s="4" t="s">
        <v>77</v>
      </c>
      <c r="O50" s="4" t="s">
        <v>78</v>
      </c>
      <c r="P50" s="4" t="s">
        <v>79</v>
      </c>
      <c r="Q50" s="4" t="s">
        <v>80</v>
      </c>
      <c r="R50" s="4" t="s">
        <v>81</v>
      </c>
      <c r="S50" s="4" t="s">
        <v>82</v>
      </c>
      <c r="T50" s="4" t="s">
        <v>83</v>
      </c>
      <c r="U50" s="4" t="s">
        <v>84</v>
      </c>
      <c r="V50" s="4" t="s">
        <v>85</v>
      </c>
      <c r="W50" s="4" t="s">
        <v>86</v>
      </c>
      <c r="X50" s="4" t="s">
        <v>87</v>
      </c>
      <c r="Y50" s="4" t="s">
        <v>88</v>
      </c>
      <c r="Z50" s="4" t="s">
        <v>89</v>
      </c>
      <c r="AA50" s="4" t="s">
        <v>90</v>
      </c>
      <c r="AB50" s="4" t="s">
        <v>91</v>
      </c>
      <c r="AC50" s="4" t="s">
        <v>92</v>
      </c>
      <c r="AD50" s="4" t="s">
        <v>93</v>
      </c>
      <c r="AE50" s="4" t="s">
        <v>94</v>
      </c>
      <c r="AF50" s="4" t="s">
        <v>95</v>
      </c>
      <c r="AG50" s="4" t="s">
        <v>96</v>
      </c>
      <c r="AH50" s="4" t="s">
        <v>97</v>
      </c>
      <c r="AI50" s="4" t="s">
        <v>98</v>
      </c>
      <c r="AJ50" s="4" t="s">
        <v>99</v>
      </c>
      <c r="AK50" s="4" t="s">
        <v>100</v>
      </c>
      <c r="AL50" s="4" t="s">
        <v>101</v>
      </c>
      <c r="AM50" s="4" t="s">
        <v>102</v>
      </c>
      <c r="AN50" s="4" t="s">
        <v>103</v>
      </c>
      <c r="AO50" s="4" t="s">
        <v>104</v>
      </c>
      <c r="AP50" s="4" t="s">
        <v>105</v>
      </c>
      <c r="AQ50" s="4" t="s">
        <v>106</v>
      </c>
      <c r="AR50" s="4" t="s">
        <v>107</v>
      </c>
      <c r="AS50" s="4" t="s">
        <v>108</v>
      </c>
      <c r="AT50" s="4" t="s">
        <v>109</v>
      </c>
      <c r="AU50" s="4" t="s">
        <v>110</v>
      </c>
      <c r="AV50" s="4" t="s">
        <v>111</v>
      </c>
      <c r="AW50" s="4" t="s">
        <v>112</v>
      </c>
      <c r="AX50" s="4" t="s">
        <v>113</v>
      </c>
      <c r="AY50" s="4" t="s">
        <v>114</v>
      </c>
      <c r="AZ50" s="4" t="s">
        <v>115</v>
      </c>
      <c r="BA50" s="4" t="s">
        <v>116</v>
      </c>
      <c r="BB50" s="4" t="s">
        <v>117</v>
      </c>
      <c r="BC50" s="4" t="s">
        <v>118</v>
      </c>
      <c r="BD50" s="4" t="s">
        <v>119</v>
      </c>
      <c r="BE50" s="4" t="s">
        <v>120</v>
      </c>
      <c r="BF50" s="4" t="s">
        <v>121</v>
      </c>
      <c r="BG50" s="4" t="s">
        <v>122</v>
      </c>
      <c r="BH50" s="4" t="s">
        <v>123</v>
      </c>
      <c r="BI50" s="4" t="s">
        <v>124</v>
      </c>
      <c r="BJ50" s="4" t="s">
        <v>125</v>
      </c>
      <c r="BK50" s="4" t="s">
        <v>126</v>
      </c>
      <c r="BL50" s="4" t="s">
        <v>215</v>
      </c>
      <c r="BM50" s="4" t="s">
        <v>216</v>
      </c>
      <c r="BN50" s="4" t="s">
        <v>217</v>
      </c>
      <c r="BO50" s="4" t="s">
        <v>218</v>
      </c>
      <c r="BP50" s="4" t="s">
        <v>219</v>
      </c>
      <c r="BQ50" s="4" t="s">
        <v>220</v>
      </c>
      <c r="BR50" s="4" t="s">
        <v>221</v>
      </c>
      <c r="BS50" s="4" t="s">
        <v>222</v>
      </c>
      <c r="BT50" s="4" t="s">
        <v>223</v>
      </c>
      <c r="BU50" s="4" t="s">
        <v>224</v>
      </c>
      <c r="BV50" s="4" t="s">
        <v>225</v>
      </c>
      <c r="BW50" s="4" t="s">
        <v>226</v>
      </c>
    </row>
    <row r="51" spans="1:75" hidden="1" x14ac:dyDescent="0.3">
      <c r="A51" s="104" t="str">
        <f>CONCATENATE("Abonos a capital del crédito"," ",A32)</f>
        <v xml:space="preserve">Abonos a capital del crédito </v>
      </c>
      <c r="B51" s="105"/>
      <c r="C51" s="14"/>
      <c r="D51" s="14">
        <f>IF(C89&gt;0,SUM($C$32:C32)/60,0)</f>
        <v>0</v>
      </c>
      <c r="E51" s="14">
        <f>IF(D89&gt;0,SUM($C$32:D32)/60,0)</f>
        <v>0</v>
      </c>
      <c r="F51" s="14">
        <f>IF(E89&gt;0,SUM($C$32:E32)/60,0)</f>
        <v>0</v>
      </c>
      <c r="G51" s="14">
        <f>IF(F89&gt;0,SUM($C$32:F32)/60,0)</f>
        <v>0</v>
      </c>
      <c r="H51" s="14">
        <f>IF(G89&gt;0,SUM($C$32:G32)/60,0)</f>
        <v>0</v>
      </c>
      <c r="I51" s="14">
        <f>IF(H89&gt;0,SUM($C$32:H32)/60,0)</f>
        <v>0</v>
      </c>
      <c r="J51" s="14">
        <f>IF(I89&gt;0,SUM($C$32:I32)/60,0)</f>
        <v>0</v>
      </c>
      <c r="K51" s="14">
        <f>IF(J89&gt;0,SUM($C$32:J32)/60,0)</f>
        <v>0</v>
      </c>
      <c r="L51" s="14">
        <f>IF(K89&gt;0,SUM($C$32:K32)/60,0)</f>
        <v>0</v>
      </c>
      <c r="M51" s="14">
        <f>IF(L89&gt;0,SUM($C$32:L32)/60,0)</f>
        <v>0</v>
      </c>
      <c r="N51" s="14">
        <f>IF(M89&gt;0,SUM($C$32:M32)/60,0)</f>
        <v>0</v>
      </c>
      <c r="O51" s="14">
        <f>IF(N89&gt;0,SUM($C$32:N32)/60,0)</f>
        <v>0</v>
      </c>
      <c r="P51" s="14">
        <f>IF(O89&gt;0,SUM($C$32:O32)/60,0)</f>
        <v>0</v>
      </c>
      <c r="Q51" s="14">
        <f>IF(P89&gt;0,SUM($C$32:P32)/60,0)</f>
        <v>0</v>
      </c>
      <c r="R51" s="14">
        <f>IF(Q89&gt;0,SUM($C$32:Q32)/60,0)</f>
        <v>0</v>
      </c>
      <c r="S51" s="14">
        <f>IF(R89&gt;0,SUM($C$32:R32)/60,0)</f>
        <v>0</v>
      </c>
      <c r="T51" s="14">
        <f>IF(S89&gt;0,SUM($C$32:S32)/60,0)</f>
        <v>0</v>
      </c>
      <c r="U51" s="14">
        <f>IF(T89&gt;0,SUM($C$32:T32)/60,0)</f>
        <v>0</v>
      </c>
      <c r="V51" s="14">
        <f>IF(U89&gt;0,SUM($C$32:U32)/60,0)</f>
        <v>0</v>
      </c>
      <c r="W51" s="14">
        <f>IF(V89&gt;0,SUM($C$32:V32)/60,0)</f>
        <v>0</v>
      </c>
      <c r="X51" s="14">
        <f>IF(W89&gt;0,SUM($C$32:W32)/60,0)</f>
        <v>0</v>
      </c>
      <c r="Y51" s="14">
        <f>IF(X89&gt;0,SUM($C$32:X32)/60,0)</f>
        <v>0</v>
      </c>
      <c r="Z51" s="14">
        <f>IF(Y89&gt;0,SUM($C$32:Y32)/60,0)</f>
        <v>0</v>
      </c>
      <c r="AA51" s="14">
        <f>IF(Z89&gt;0,SUM($C$32:Z32)/60,0)</f>
        <v>0</v>
      </c>
      <c r="AB51" s="14">
        <f>IF(AA89&gt;0,SUM($C$32:AA32)/60,0)</f>
        <v>0</v>
      </c>
      <c r="AC51" s="14">
        <f>IF(AB89&gt;0,SUM($C$32:AB32)/60,0)</f>
        <v>0</v>
      </c>
      <c r="AD51" s="14">
        <f>IF(AC89&gt;0,SUM($C$32:AC32)/60,0)</f>
        <v>0</v>
      </c>
      <c r="AE51" s="14">
        <f>IF(AD89&gt;0,SUM($C$32:AD32)/60,0)</f>
        <v>0</v>
      </c>
      <c r="AF51" s="14">
        <f>IF(AE89&gt;0,SUM($C$32:AE32)/60,0)</f>
        <v>0</v>
      </c>
      <c r="AG51" s="14">
        <f>IF(AF89&gt;0,SUM($C$32:AF32)/60,0)</f>
        <v>0</v>
      </c>
      <c r="AH51" s="14">
        <f>IF(AG89&gt;0,SUM($C$32:AG32)/60,0)</f>
        <v>0</v>
      </c>
      <c r="AI51" s="14">
        <f>IF(AH89&gt;0,SUM($C$32:AH32)/60,0)</f>
        <v>0</v>
      </c>
      <c r="AJ51" s="14">
        <f>IF(AI89&gt;0,SUM($C$32:AI32)/60,0)</f>
        <v>0</v>
      </c>
      <c r="AK51" s="14">
        <f>IF(AJ89&gt;0,SUM($C$32:AJ32)/60,0)</f>
        <v>0</v>
      </c>
      <c r="AL51" s="14">
        <f>IF(AK89&gt;0,SUM($C$32:AK32)/60,0)</f>
        <v>0</v>
      </c>
      <c r="AM51" s="14">
        <f>IF(AL89&gt;0,SUM($C$32:AL32)/60,0)</f>
        <v>0</v>
      </c>
      <c r="AN51" s="14">
        <f>IF(AM89&gt;0,SUM($C$32:AM32)/60,0)</f>
        <v>0</v>
      </c>
      <c r="AO51" s="14">
        <f>IF(AN89&gt;0,SUM($C$32:AN32)/60,0)</f>
        <v>0</v>
      </c>
      <c r="AP51" s="14">
        <f>IF(AO89&gt;0,SUM($C$32:AO32)/60,0)</f>
        <v>0</v>
      </c>
      <c r="AQ51" s="14">
        <f>IF(AP89&gt;0,SUM($C$32:AP32)/60,0)</f>
        <v>0</v>
      </c>
      <c r="AR51" s="14">
        <f>IF(AQ89&gt;0,SUM($C$32:AQ32)/60,0)</f>
        <v>0</v>
      </c>
      <c r="AS51" s="14">
        <f>IF(AR89&gt;0,SUM($C$32:AR32)/60,0)</f>
        <v>0</v>
      </c>
      <c r="AT51" s="14">
        <f>IF(AS89&gt;0,SUM($C$32:AS32)/60,0)</f>
        <v>0</v>
      </c>
      <c r="AU51" s="14">
        <f>IF(AT89&gt;0,SUM($C$32:AT32)/60,0)</f>
        <v>0</v>
      </c>
      <c r="AV51" s="14">
        <f>IF(AU89&gt;0,SUM($C$32:AU32)/60,0)</f>
        <v>0</v>
      </c>
      <c r="AW51" s="14">
        <f>IF(AV89&gt;0,SUM($C$32:AV32)/60,0)</f>
        <v>0</v>
      </c>
      <c r="AX51" s="14">
        <f>IF(AW89&gt;0,SUM($C$32:AW32)/60,0)</f>
        <v>0</v>
      </c>
      <c r="AY51" s="14">
        <f>IF(AX89&gt;0,SUM($C$32:AX32)/60,0)</f>
        <v>0</v>
      </c>
      <c r="AZ51" s="14">
        <f>IF(AY89&gt;0,SUM($C$32:AY32)/60,0)</f>
        <v>0</v>
      </c>
      <c r="BA51" s="14">
        <f>IF(AZ89&gt;0,SUM($C$32:AZ32)/60,0)</f>
        <v>0</v>
      </c>
      <c r="BB51" s="14">
        <f>IF(BA89&gt;0,SUM($C$32:BA32)/60,0)</f>
        <v>0</v>
      </c>
      <c r="BC51" s="14">
        <f>IF(BB89&gt;0,SUM($C$32:BB32)/60,0)</f>
        <v>0</v>
      </c>
      <c r="BD51" s="14">
        <f>IF(BC89&gt;0,SUM($C$32:BC32)/60,0)</f>
        <v>0</v>
      </c>
      <c r="BE51" s="14">
        <f>IF(BD89&gt;0,SUM($C$32:BD32)/60,0)</f>
        <v>0</v>
      </c>
      <c r="BF51" s="14">
        <f>IF(BE89&gt;0,SUM($C$32:BE32)/60,0)</f>
        <v>0</v>
      </c>
      <c r="BG51" s="14">
        <f>IF(BF89&gt;0,SUM($C$32:BF32)/60,0)</f>
        <v>0</v>
      </c>
      <c r="BH51" s="14">
        <f>IF(BG89&gt;0,SUM($C$32:BG32)/60,0)</f>
        <v>0</v>
      </c>
      <c r="BI51" s="14">
        <f>IF(BH89&gt;0,SUM($C$32:BH32)/60,0)</f>
        <v>0</v>
      </c>
      <c r="BJ51" s="14">
        <f>IF(BI89&gt;0,SUM($C$32:BI32)/60,0)</f>
        <v>0</v>
      </c>
      <c r="BK51" s="14">
        <f>IF(BJ89&gt;0,SUM($C$32:BJ32)/60,0)</f>
        <v>0</v>
      </c>
      <c r="BL51" s="93">
        <f>IF(BK89&gt;0,SUM($C$32:BK32)/60,0)</f>
        <v>0</v>
      </c>
      <c r="BM51" s="93">
        <f>IF(BL89&gt;0,SUM($C$32:BL32)/60,0)</f>
        <v>0</v>
      </c>
      <c r="BN51" s="93" t="e">
        <f>IF(BM89&gt;0,SUM($C$32:BM32)/60,0)</f>
        <v>#DIV/0!</v>
      </c>
      <c r="BO51" s="93" t="e">
        <f>IF(BN89&gt;0,SUM($C$32:BN32)/60,0)</f>
        <v>#DIV/0!</v>
      </c>
      <c r="BP51" s="93" t="e">
        <f>IF(BO89&gt;0,SUM($C$32:BO32)/60,0)</f>
        <v>#DIV/0!</v>
      </c>
      <c r="BQ51" s="93" t="e">
        <f>IF(BP89&gt;0,SUM($C$32:BP32)/60,0)</f>
        <v>#DIV/0!</v>
      </c>
      <c r="BR51" s="93" t="e">
        <f>IF(BQ89&gt;0,SUM($C$32:BQ32)/60,0)</f>
        <v>#DIV/0!</v>
      </c>
      <c r="BS51" s="93" t="e">
        <f>IF(BR89&gt;0,SUM($C$32:BR32)/60,0)</f>
        <v>#DIV/0!</v>
      </c>
      <c r="BT51" s="93" t="e">
        <f>IF(BS89&gt;0,SUM($C$32:BS32)/60,0)</f>
        <v>#DIV/0!</v>
      </c>
      <c r="BU51" s="93" t="e">
        <f>IF(BT89&gt;0,SUM($C$32:BT32)/60,0)</f>
        <v>#DIV/0!</v>
      </c>
      <c r="BV51" s="93" t="e">
        <f>IF(BU89&gt;0,SUM($C$32:BU32)/60,0)</f>
        <v>#DIV/0!</v>
      </c>
      <c r="BW51" s="93" t="e">
        <f>IF(BV89&gt;0,SUM($C$32:BV32)/60,0)</f>
        <v>#DIV/0!</v>
      </c>
    </row>
    <row r="52" spans="1:75" hidden="1" x14ac:dyDescent="0.3">
      <c r="A52" s="104" t="str">
        <f t="shared" ref="A52:A65" si="7">CONCATENATE("Abonos a capital del crédito"," ",A33)</f>
        <v xml:space="preserve">Abonos a capital del crédito </v>
      </c>
      <c r="B52" s="105"/>
      <c r="C52" s="14"/>
      <c r="D52" s="14">
        <f>IF(C90&gt;0,SUM($C$33:C33)/60,0)</f>
        <v>0</v>
      </c>
      <c r="E52" s="14">
        <f>IF(D90&gt;0,SUM($C$33:D33)/60,0)</f>
        <v>0</v>
      </c>
      <c r="F52" s="14">
        <f>IF(E90&gt;0,SUM($C$33:E33)/60,0)</f>
        <v>0</v>
      </c>
      <c r="G52" s="14">
        <f>IF(F90&gt;0,SUM($C$33:F33)/60,0)</f>
        <v>0</v>
      </c>
      <c r="H52" s="14">
        <f>IF(G90&gt;0,SUM($C$33:G33)/60,0)</f>
        <v>0</v>
      </c>
      <c r="I52" s="14">
        <f>IF(H90&gt;0,SUM($C$33:H33)/60,0)</f>
        <v>0</v>
      </c>
      <c r="J52" s="14">
        <f>IF(I90&gt;0,SUM($C$33:I33)/60,0)</f>
        <v>0</v>
      </c>
      <c r="K52" s="14">
        <f>IF(J90&gt;0,SUM($C$33:J33)/60,0)</f>
        <v>0</v>
      </c>
      <c r="L52" s="14">
        <f>IF(K90&gt;0,SUM($C$33:K33)/60,0)</f>
        <v>0</v>
      </c>
      <c r="M52" s="14">
        <f>IF(L90&gt;0,SUM($C$33:L33)/60,0)</f>
        <v>0</v>
      </c>
      <c r="N52" s="14">
        <f>IF(M90&gt;0,SUM($C$33:M33)/60,0)</f>
        <v>0</v>
      </c>
      <c r="O52" s="14">
        <f>IF(N90&gt;0,SUM($C$33:N33)/60,0)</f>
        <v>0</v>
      </c>
      <c r="P52" s="14">
        <f>IF(O90&gt;0,SUM($C$33:O33)/60,0)</f>
        <v>0</v>
      </c>
      <c r="Q52" s="14">
        <f>IF(P90&gt;0,SUM($C$33:P33)/60,0)</f>
        <v>0</v>
      </c>
      <c r="R52" s="14">
        <f>IF(Q90&gt;0,SUM($C$33:Q33)/60,0)</f>
        <v>0</v>
      </c>
      <c r="S52" s="14">
        <f>IF(R90&gt;0,SUM($C$33:R33)/60,0)</f>
        <v>0</v>
      </c>
      <c r="T52" s="14">
        <f>IF(S90&gt;0,SUM($C$33:S33)/60,0)</f>
        <v>0</v>
      </c>
      <c r="U52" s="14">
        <f>IF(T90&gt;0,SUM($C$33:T33)/60,0)</f>
        <v>0</v>
      </c>
      <c r="V52" s="14">
        <f>IF(U90&gt;0,SUM($C$33:U33)/60,0)</f>
        <v>0</v>
      </c>
      <c r="W52" s="14">
        <f>IF(V90&gt;0,SUM($C$33:V33)/60,0)</f>
        <v>0</v>
      </c>
      <c r="X52" s="14">
        <f>IF(W90&gt;0,SUM($C$33:W33)/60,0)</f>
        <v>0</v>
      </c>
      <c r="Y52" s="14">
        <f>IF(X90&gt;0,SUM($C$33:X33)/60,0)</f>
        <v>0</v>
      </c>
      <c r="Z52" s="14">
        <f>IF(Y90&gt;0,SUM($C$33:Y33)/60,0)</f>
        <v>0</v>
      </c>
      <c r="AA52" s="14">
        <f>IF(Z90&gt;0,SUM($C$33:Z33)/60,0)</f>
        <v>0</v>
      </c>
      <c r="AB52" s="14">
        <f>IF(AA90&gt;0,SUM($C$33:AA33)/60,0)</f>
        <v>0</v>
      </c>
      <c r="AC52" s="14">
        <f>IF(AB90&gt;0,SUM($C$33:AB33)/60,0)</f>
        <v>0</v>
      </c>
      <c r="AD52" s="14">
        <f>IF(AC90&gt;0,SUM($C$33:AC33)/60,0)</f>
        <v>0</v>
      </c>
      <c r="AE52" s="14">
        <f>IF(AD90&gt;0,SUM($C$33:AD33)/60,0)</f>
        <v>0</v>
      </c>
      <c r="AF52" s="14">
        <f>IF(AE90&gt;0,SUM($C$33:AE33)/60,0)</f>
        <v>0</v>
      </c>
      <c r="AG52" s="14">
        <f>IF(AF90&gt;0,SUM($C$33:AF33)/60,0)</f>
        <v>0</v>
      </c>
      <c r="AH52" s="14">
        <f>IF(AG90&gt;0,SUM($C$33:AG33)/60,0)</f>
        <v>0</v>
      </c>
      <c r="AI52" s="14">
        <f>IF(AH90&gt;0,SUM($C$33:AH33)/60,0)</f>
        <v>0</v>
      </c>
      <c r="AJ52" s="14">
        <f>IF(AI90&gt;0,SUM($C$33:AI33)/60,0)</f>
        <v>0</v>
      </c>
      <c r="AK52" s="14">
        <f>IF(AJ90&gt;0,SUM($C$33:AJ33)/60,0)</f>
        <v>0</v>
      </c>
      <c r="AL52" s="14">
        <f>IF(AK90&gt;0,SUM($C$33:AK33)/60,0)</f>
        <v>0</v>
      </c>
      <c r="AM52" s="14">
        <f>IF(AL90&gt;0,SUM($C$33:AL33)/60,0)</f>
        <v>0</v>
      </c>
      <c r="AN52" s="14">
        <f>IF(AM90&gt;0,SUM($C$33:AM33)/60,0)</f>
        <v>0</v>
      </c>
      <c r="AO52" s="14">
        <f>IF(AN90&gt;0,SUM($C$33:AN33)/60,0)</f>
        <v>0</v>
      </c>
      <c r="AP52" s="14">
        <f>IF(AO90&gt;0,SUM($C$33:AO33)/60,0)</f>
        <v>0</v>
      </c>
      <c r="AQ52" s="14">
        <f>IF(AP90&gt;0,SUM($C$33:AP33)/60,0)</f>
        <v>0</v>
      </c>
      <c r="AR52" s="14">
        <f>IF(AQ90&gt;0,SUM($C$33:AQ33)/60,0)</f>
        <v>0</v>
      </c>
      <c r="AS52" s="14">
        <f>IF(AR90&gt;0,SUM($C$33:AR33)/60,0)</f>
        <v>0</v>
      </c>
      <c r="AT52" s="14">
        <f>IF(AS90&gt;0,SUM($C$33:AS33)/60,0)</f>
        <v>0</v>
      </c>
      <c r="AU52" s="14">
        <f>IF(AT90&gt;0,SUM($C$33:AT33)/60,0)</f>
        <v>0</v>
      </c>
      <c r="AV52" s="14">
        <f>IF(AU90&gt;0,SUM($C$33:AU33)/60,0)</f>
        <v>0</v>
      </c>
      <c r="AW52" s="14">
        <f>IF(AV90&gt;0,SUM($C$33:AV33)/60,0)</f>
        <v>0</v>
      </c>
      <c r="AX52" s="14">
        <f>IF(AW90&gt;0,SUM($C$33:AW33)/60,0)</f>
        <v>0</v>
      </c>
      <c r="AY52" s="14">
        <f>IF(AX90&gt;0,SUM($C$33:AX33)/60,0)</f>
        <v>0</v>
      </c>
      <c r="AZ52" s="14">
        <f>IF(AY90&gt;0,SUM($C$33:AY33)/60,0)</f>
        <v>0</v>
      </c>
      <c r="BA52" s="14">
        <f>IF(AZ90&gt;0,SUM($C$33:AZ33)/60,0)</f>
        <v>0</v>
      </c>
      <c r="BB52" s="14">
        <f>IF(BA90&gt;0,SUM($C$33:BA33)/60,0)</f>
        <v>0</v>
      </c>
      <c r="BC52" s="14">
        <f>IF(BB90&gt;0,SUM($C$33:BB33)/60,0)</f>
        <v>0</v>
      </c>
      <c r="BD52" s="14">
        <f>IF(BC90&gt;0,SUM($C$33:BC33)/60,0)</f>
        <v>0</v>
      </c>
      <c r="BE52" s="14">
        <f>IF(BD90&gt;0,SUM($C$33:BD33)/60,0)</f>
        <v>0</v>
      </c>
      <c r="BF52" s="14">
        <f>IF(BE90&gt;0,SUM($C$33:BE33)/60,0)</f>
        <v>0</v>
      </c>
      <c r="BG52" s="14">
        <f>IF(BF90&gt;0,SUM($C$33:BF33)/60,0)</f>
        <v>0</v>
      </c>
      <c r="BH52" s="14">
        <f>IF(BG90&gt;0,SUM($C$33:BG33)/60,0)</f>
        <v>0</v>
      </c>
      <c r="BI52" s="14">
        <f>IF(BH90&gt;0,SUM($C$33:BH33)/60,0)</f>
        <v>0</v>
      </c>
      <c r="BJ52" s="14">
        <f>IF(BI90&gt;0,SUM($C$33:BI33)/60,0)</f>
        <v>0</v>
      </c>
      <c r="BK52" s="14">
        <f>IF(BJ90&gt;0,SUM($C$33:BJ33)/60,0)</f>
        <v>0</v>
      </c>
      <c r="BL52" s="93">
        <f>IF(BK90&gt;0,SUM($C$33:BK33)/60,0)</f>
        <v>0</v>
      </c>
      <c r="BM52" s="93">
        <f>IF(BL90&gt;0,SUM($C$33:BL33)/60,0)</f>
        <v>0</v>
      </c>
      <c r="BN52" s="93" t="e">
        <f>IF(BM90&gt;0,SUM($C$33:BM33)/60,0)</f>
        <v>#DIV/0!</v>
      </c>
      <c r="BO52" s="93" t="e">
        <f>IF(BN90&gt;0,SUM($C$33:BN33)/60,0)</f>
        <v>#DIV/0!</v>
      </c>
      <c r="BP52" s="93" t="e">
        <f>IF(BO90&gt;0,SUM($C$33:BO33)/60,0)</f>
        <v>#DIV/0!</v>
      </c>
      <c r="BQ52" s="93" t="e">
        <f>IF(BP90&gt;0,SUM($C$33:BP33)/60,0)</f>
        <v>#DIV/0!</v>
      </c>
      <c r="BR52" s="93" t="e">
        <f>IF(BQ90&gt;0,SUM($C$33:BQ33)/60,0)</f>
        <v>#DIV/0!</v>
      </c>
      <c r="BS52" s="93" t="e">
        <f>IF(BR90&gt;0,SUM($C$33:BR33)/60,0)</f>
        <v>#DIV/0!</v>
      </c>
      <c r="BT52" s="93" t="e">
        <f>IF(BS90&gt;0,SUM($C$33:BS33)/60,0)</f>
        <v>#DIV/0!</v>
      </c>
      <c r="BU52" s="93" t="e">
        <f>IF(BT90&gt;0,SUM($C$33:BT33)/60,0)</f>
        <v>#DIV/0!</v>
      </c>
      <c r="BV52" s="93" t="e">
        <f>IF(BU90&gt;0,SUM($C$33:BU33)/60,0)</f>
        <v>#DIV/0!</v>
      </c>
      <c r="BW52" s="93" t="e">
        <f>IF(BV90&gt;0,SUM($C$33:BV33)/60,0)</f>
        <v>#DIV/0!</v>
      </c>
    </row>
    <row r="53" spans="1:75" hidden="1" x14ac:dyDescent="0.3">
      <c r="A53" s="104" t="str">
        <f t="shared" si="7"/>
        <v xml:space="preserve">Abonos a capital del crédito </v>
      </c>
      <c r="B53" s="105"/>
      <c r="C53" s="14"/>
      <c r="D53" s="14">
        <f>IF(C91&gt;0,SUM($C$34:C34)/60,0)</f>
        <v>0</v>
      </c>
      <c r="E53" s="14">
        <f>IF(D91&gt;0,SUM($C$34:D34)/60,0)</f>
        <v>0</v>
      </c>
      <c r="F53" s="14">
        <f>IF(E91&gt;0,SUM($C$34:E34)/60,0)</f>
        <v>0</v>
      </c>
      <c r="G53" s="14">
        <f>IF(F91&gt;0,SUM($C$34:F34)/60,0)</f>
        <v>0</v>
      </c>
      <c r="H53" s="14">
        <f>IF(G91&gt;0,SUM($C$34:G34)/60,0)</f>
        <v>0</v>
      </c>
      <c r="I53" s="14">
        <f>IF(H91&gt;0,SUM($C$34:H34)/60,0)</f>
        <v>0</v>
      </c>
      <c r="J53" s="14">
        <f>IF(I91&gt;0,SUM($C$34:I34)/60,0)</f>
        <v>0</v>
      </c>
      <c r="K53" s="14">
        <f>IF(J91&gt;0,SUM($C$34:J34)/60,0)</f>
        <v>0</v>
      </c>
      <c r="L53" s="14">
        <f>IF(K91&gt;0,SUM($C$34:K34)/60,0)</f>
        <v>0</v>
      </c>
      <c r="M53" s="14">
        <f>IF(L91&gt;0,SUM($C$34:L34)/60,0)</f>
        <v>0</v>
      </c>
      <c r="N53" s="14">
        <f>IF(M91&gt;0,SUM($C$34:M34)/60,0)</f>
        <v>0</v>
      </c>
      <c r="O53" s="14">
        <f>IF(N91&gt;0,SUM($C$34:N34)/60,0)</f>
        <v>0</v>
      </c>
      <c r="P53" s="14">
        <f>IF(O91&gt;0,SUM($C$34:O34)/60,0)</f>
        <v>0</v>
      </c>
      <c r="Q53" s="14">
        <f>IF(P91&gt;0,SUM($C$34:P34)/60,0)</f>
        <v>0</v>
      </c>
      <c r="R53" s="14">
        <f>IF(Q91&gt;0,SUM($C$34:Q34)/60,0)</f>
        <v>0</v>
      </c>
      <c r="S53" s="14">
        <f>IF(R91&gt;0,SUM($C$34:R34)/60,0)</f>
        <v>0</v>
      </c>
      <c r="T53" s="14">
        <f>IF(S91&gt;0,SUM($C$34:S34)/60,0)</f>
        <v>0</v>
      </c>
      <c r="U53" s="14">
        <f>IF(T91&gt;0,SUM($C$34:T34)/60,0)</f>
        <v>0</v>
      </c>
      <c r="V53" s="14">
        <f>IF(U91&gt;0,SUM($C$34:U34)/60,0)</f>
        <v>0</v>
      </c>
      <c r="W53" s="14">
        <f>IF(V91&gt;0,SUM($C$34:V34)/60,0)</f>
        <v>0</v>
      </c>
      <c r="X53" s="14">
        <f>IF(W91&gt;0,SUM($C$34:W34)/60,0)</f>
        <v>0</v>
      </c>
      <c r="Y53" s="14">
        <f>IF(X91&gt;0,SUM($C$34:X34)/60,0)</f>
        <v>0</v>
      </c>
      <c r="Z53" s="14">
        <f>IF(Y91&gt;0,SUM($C$34:Y34)/60,0)</f>
        <v>0</v>
      </c>
      <c r="AA53" s="14">
        <f>IF(Z91&gt;0,SUM($C$34:Z34)/60,0)</f>
        <v>0</v>
      </c>
      <c r="AB53" s="14">
        <f>IF(AA91&gt;0,SUM($C$34:AA34)/60,0)</f>
        <v>0</v>
      </c>
      <c r="AC53" s="14">
        <f>IF(AB91&gt;0,SUM($C$34:AB34)/60,0)</f>
        <v>0</v>
      </c>
      <c r="AD53" s="14">
        <f>IF(AC91&gt;0,SUM($C$34:AC34)/60,0)</f>
        <v>0</v>
      </c>
      <c r="AE53" s="14">
        <f>IF(AD91&gt;0,SUM($C$34:AD34)/60,0)</f>
        <v>0</v>
      </c>
      <c r="AF53" s="14">
        <f>IF(AE91&gt;0,SUM($C$34:AE34)/60,0)</f>
        <v>0</v>
      </c>
      <c r="AG53" s="14">
        <f>IF(AF91&gt;0,SUM($C$34:AF34)/60,0)</f>
        <v>0</v>
      </c>
      <c r="AH53" s="14">
        <f>IF(AG91&gt;0,SUM($C$34:AG34)/60,0)</f>
        <v>0</v>
      </c>
      <c r="AI53" s="14">
        <f>IF(AH91&gt;0,SUM($C$34:AH34)/60,0)</f>
        <v>0</v>
      </c>
      <c r="AJ53" s="14">
        <f>IF(AI91&gt;0,SUM($C$34:AI34)/60,0)</f>
        <v>0</v>
      </c>
      <c r="AK53" s="14">
        <f>IF(AJ91&gt;0,SUM($C$34:AJ34)/60,0)</f>
        <v>0</v>
      </c>
      <c r="AL53" s="14">
        <f>IF(AK91&gt;0,SUM($C$34:AK34)/60,0)</f>
        <v>0</v>
      </c>
      <c r="AM53" s="14">
        <f>IF(AL91&gt;0,SUM($C$34:AL34)/60,0)</f>
        <v>0</v>
      </c>
      <c r="AN53" s="14">
        <f>IF(AM91&gt;0,SUM($C$34:AM34)/60,0)</f>
        <v>0</v>
      </c>
      <c r="AO53" s="14">
        <f>IF(AN91&gt;0,SUM($C$34:AN34)/60,0)</f>
        <v>0</v>
      </c>
      <c r="AP53" s="14">
        <f>IF(AO91&gt;0,SUM($C$34:AO34)/60,0)</f>
        <v>0</v>
      </c>
      <c r="AQ53" s="14">
        <f>IF(AP91&gt;0,SUM($C$34:AP34)/60,0)</f>
        <v>0</v>
      </c>
      <c r="AR53" s="14">
        <f>IF(AQ91&gt;0,SUM($C$34:AQ34)/60,0)</f>
        <v>0</v>
      </c>
      <c r="AS53" s="14">
        <f>IF(AR91&gt;0,SUM($C$34:AR34)/60,0)</f>
        <v>0</v>
      </c>
      <c r="AT53" s="14">
        <f>IF(AS91&gt;0,SUM($C$34:AS34)/60,0)</f>
        <v>0</v>
      </c>
      <c r="AU53" s="14">
        <f>IF(AT91&gt;0,SUM($C$34:AT34)/60,0)</f>
        <v>0</v>
      </c>
      <c r="AV53" s="14">
        <f>IF(AU91&gt;0,SUM($C$34:AU34)/60,0)</f>
        <v>0</v>
      </c>
      <c r="AW53" s="14">
        <f>IF(AV91&gt;0,SUM($C$34:AV34)/60,0)</f>
        <v>0</v>
      </c>
      <c r="AX53" s="14">
        <f>IF(AW91&gt;0,SUM($C$34:AW34)/60,0)</f>
        <v>0</v>
      </c>
      <c r="AY53" s="14">
        <f>IF(AX91&gt;0,SUM($C$34:AX34)/60,0)</f>
        <v>0</v>
      </c>
      <c r="AZ53" s="14">
        <f>IF(AY91&gt;0,SUM($C$34:AY34)/60,0)</f>
        <v>0</v>
      </c>
      <c r="BA53" s="14">
        <f>IF(AZ91&gt;0,SUM($C$34:AZ34)/60,0)</f>
        <v>0</v>
      </c>
      <c r="BB53" s="14">
        <f>IF(BA91&gt;0,SUM($C$34:BA34)/60,0)</f>
        <v>0</v>
      </c>
      <c r="BC53" s="14">
        <f>IF(BB91&gt;0,SUM($C$34:BB34)/60,0)</f>
        <v>0</v>
      </c>
      <c r="BD53" s="14">
        <f>IF(BC91&gt;0,SUM($C$34:BC34)/60,0)</f>
        <v>0</v>
      </c>
      <c r="BE53" s="14">
        <f>IF(BD91&gt;0,SUM($C$34:BD34)/60,0)</f>
        <v>0</v>
      </c>
      <c r="BF53" s="14">
        <f>IF(BE91&gt;0,SUM($C$34:BE34)/60,0)</f>
        <v>0</v>
      </c>
      <c r="BG53" s="14">
        <f>IF(BF91&gt;0,SUM($C$34:BF34)/60,0)</f>
        <v>0</v>
      </c>
      <c r="BH53" s="14">
        <f>IF(BG91&gt;0,SUM($C$34:BG34)/60,0)</f>
        <v>0</v>
      </c>
      <c r="BI53" s="14">
        <f>IF(BH91&gt;0,SUM($C$34:BH34)/60,0)</f>
        <v>0</v>
      </c>
      <c r="BJ53" s="14">
        <f>IF(BI91&gt;0,SUM($C$34:BI34)/60,0)</f>
        <v>0</v>
      </c>
      <c r="BK53" s="14">
        <f>IF(BJ91&gt;0,SUM($C$34:BJ34)/60,0)</f>
        <v>0</v>
      </c>
      <c r="BL53" s="93">
        <f>IF(BK91&gt;0,SUM($C$34:BK34)/60,0)</f>
        <v>0</v>
      </c>
      <c r="BM53" s="93">
        <f>IF(BL91&gt;0,SUM($C$34:BL34)/60,0)</f>
        <v>0</v>
      </c>
      <c r="BN53" s="93" t="e">
        <f>IF(BM91&gt;0,SUM($C$34:BM34)/60,0)</f>
        <v>#DIV/0!</v>
      </c>
      <c r="BO53" s="93" t="e">
        <f>IF(BN91&gt;0,SUM($C$34:BN34)/60,0)</f>
        <v>#DIV/0!</v>
      </c>
      <c r="BP53" s="93" t="e">
        <f>IF(BO91&gt;0,SUM($C$34:BO34)/60,0)</f>
        <v>#DIV/0!</v>
      </c>
      <c r="BQ53" s="93" t="e">
        <f>IF(BP91&gt;0,SUM($C$34:BP34)/60,0)</f>
        <v>#DIV/0!</v>
      </c>
      <c r="BR53" s="93" t="e">
        <f>IF(BQ91&gt;0,SUM($C$34:BQ34)/60,0)</f>
        <v>#DIV/0!</v>
      </c>
      <c r="BS53" s="93" t="e">
        <f>IF(BR91&gt;0,SUM($C$34:BR34)/60,0)</f>
        <v>#DIV/0!</v>
      </c>
      <c r="BT53" s="93" t="e">
        <f>IF(BS91&gt;0,SUM($C$34:BS34)/60,0)</f>
        <v>#DIV/0!</v>
      </c>
      <c r="BU53" s="93" t="e">
        <f>IF(BT91&gt;0,SUM($C$34:BT34)/60,0)</f>
        <v>#DIV/0!</v>
      </c>
      <c r="BV53" s="93" t="e">
        <f>IF(BU91&gt;0,SUM($C$34:BU34)/60,0)</f>
        <v>#DIV/0!</v>
      </c>
      <c r="BW53" s="93" t="e">
        <f>IF(BV91&gt;0,SUM($C$34:BV34)/60,0)</f>
        <v>#DIV/0!</v>
      </c>
    </row>
    <row r="54" spans="1:75" hidden="1" x14ac:dyDescent="0.3">
      <c r="A54" s="104" t="str">
        <f>CONCATENATE("Abonos a capital del crédito"," ",A35)</f>
        <v xml:space="preserve">Abonos a capital del crédito </v>
      </c>
      <c r="B54" s="105"/>
      <c r="C54" s="14"/>
      <c r="D54" s="14">
        <f>IF(C92&gt;0,SUM($C$35:C35)/60,0)</f>
        <v>0</v>
      </c>
      <c r="E54" s="14">
        <f>IF(D92&gt;0,SUM($C$35:D35)/60,0)</f>
        <v>0</v>
      </c>
      <c r="F54" s="14">
        <f>IF(E92&gt;0,SUM($C$35:E35)/60,0)</f>
        <v>0</v>
      </c>
      <c r="G54" s="14">
        <f>IF(F92&gt;0,SUM($C$35:F35)/60,0)</f>
        <v>0</v>
      </c>
      <c r="H54" s="14">
        <f>IF(G92&gt;0,SUM($C$35:G35)/60,0)</f>
        <v>0</v>
      </c>
      <c r="I54" s="14">
        <f>IF(H92&gt;0,SUM($C$35:H35)/60,0)</f>
        <v>0</v>
      </c>
      <c r="J54" s="14">
        <f>IF(I92&gt;0,SUM($C$35:I35)/60,0)</f>
        <v>0</v>
      </c>
      <c r="K54" s="14">
        <f>IF(J92&gt;0,SUM($C$35:J35)/60,0)</f>
        <v>0</v>
      </c>
      <c r="L54" s="14">
        <f>IF(K92&gt;0,SUM($C$35:K35)/60,0)</f>
        <v>0</v>
      </c>
      <c r="M54" s="14">
        <f>IF(L92&gt;0,SUM($C$35:L35)/60,0)</f>
        <v>0</v>
      </c>
      <c r="N54" s="14">
        <f>IF(M92&gt;0,SUM($C$35:M35)/60,0)</f>
        <v>0</v>
      </c>
      <c r="O54" s="14">
        <f>IF(N92&gt;0,SUM($C$35:N35)/60,0)</f>
        <v>0</v>
      </c>
      <c r="P54" s="14">
        <f>IF(O92&gt;0,SUM($C$35:O35)/60,0)</f>
        <v>0</v>
      </c>
      <c r="Q54" s="14">
        <f>IF(P92&gt;0,SUM($C$35:P35)/60,0)</f>
        <v>0</v>
      </c>
      <c r="R54" s="14">
        <f>IF(Q92&gt;0,SUM($C$35:Q35)/60,0)</f>
        <v>0</v>
      </c>
      <c r="S54" s="14">
        <f>IF(R92&gt;0,SUM($C$35:R35)/60,0)</f>
        <v>0</v>
      </c>
      <c r="T54" s="14">
        <f>IF(S92&gt;0,SUM($C$35:S35)/60,0)</f>
        <v>0</v>
      </c>
      <c r="U54" s="14">
        <f>IF(T92&gt;0,SUM($C$35:T35)/60,0)</f>
        <v>0</v>
      </c>
      <c r="V54" s="14">
        <f>IF(U92&gt;0,SUM($C$35:U35)/60,0)</f>
        <v>0</v>
      </c>
      <c r="W54" s="14">
        <f>IF(V92&gt;0,SUM($C$35:V35)/60,0)</f>
        <v>0</v>
      </c>
      <c r="X54" s="14">
        <f>IF(W92&gt;0,SUM($C$35:W35)/60,0)</f>
        <v>0</v>
      </c>
      <c r="Y54" s="14">
        <f>IF(X92&gt;0,SUM($C$35:X35)/60,0)</f>
        <v>0</v>
      </c>
      <c r="Z54" s="14">
        <f>IF(Y92&gt;0,SUM($C$35:Y35)/60,0)</f>
        <v>0</v>
      </c>
      <c r="AA54" s="14">
        <f>IF(Z92&gt;0,SUM($C$35:Z35)/60,0)</f>
        <v>0</v>
      </c>
      <c r="AB54" s="14">
        <f>IF(AA92&gt;0,SUM($C$35:AA35)/60,0)</f>
        <v>0</v>
      </c>
      <c r="AC54" s="14">
        <f>IF(AB92&gt;0,SUM($C$35:AB35)/60,0)</f>
        <v>0</v>
      </c>
      <c r="AD54" s="14">
        <f>IF(AC92&gt;0,SUM($C$35:AC35)/60,0)</f>
        <v>0</v>
      </c>
      <c r="AE54" s="14">
        <f>IF(AD92&gt;0,SUM($C$35:AD35)/60,0)</f>
        <v>0</v>
      </c>
      <c r="AF54" s="14">
        <f>IF(AE92&gt;0,SUM($C$35:AE35)/60,0)</f>
        <v>0</v>
      </c>
      <c r="AG54" s="14">
        <f>IF(AF92&gt;0,SUM($C$35:AF35)/60,0)</f>
        <v>0</v>
      </c>
      <c r="AH54" s="14">
        <f>IF(AG92&gt;0,SUM($C$35:AG35)/60,0)</f>
        <v>0</v>
      </c>
      <c r="AI54" s="14">
        <f>IF(AH92&gt;0,SUM($C$35:AH35)/60,0)</f>
        <v>0</v>
      </c>
      <c r="AJ54" s="14">
        <f>IF(AI92&gt;0,SUM($C$35:AI35)/60,0)</f>
        <v>0</v>
      </c>
      <c r="AK54" s="14">
        <f>IF(AJ92&gt;0,SUM($C$35:AJ35)/60,0)</f>
        <v>0</v>
      </c>
      <c r="AL54" s="14">
        <f>IF(AK92&gt;0,SUM($C$35:AK35)/60,0)</f>
        <v>0</v>
      </c>
      <c r="AM54" s="14">
        <f>IF(AL92&gt;0,SUM($C$35:AL35)/60,0)</f>
        <v>0</v>
      </c>
      <c r="AN54" s="14">
        <f>IF(AM92&gt;0,SUM($C$35:AM35)/60,0)</f>
        <v>0</v>
      </c>
      <c r="AO54" s="14">
        <f>IF(AN92&gt;0,SUM($C$35:AN35)/60,0)</f>
        <v>0</v>
      </c>
      <c r="AP54" s="14">
        <f>IF(AO92&gt;0,SUM($C$35:AO35)/60,0)</f>
        <v>0</v>
      </c>
      <c r="AQ54" s="14">
        <f>IF(AP92&gt;0,SUM($C$35:AP35)/60,0)</f>
        <v>0</v>
      </c>
      <c r="AR54" s="14">
        <f>IF(AQ92&gt;0,SUM($C$35:AQ35)/60,0)</f>
        <v>0</v>
      </c>
      <c r="AS54" s="14">
        <f>IF(AR92&gt;0,SUM($C$35:AR35)/60,0)</f>
        <v>0</v>
      </c>
      <c r="AT54" s="14">
        <f>IF(AS92&gt;0,SUM($C$35:AS35)/60,0)</f>
        <v>0</v>
      </c>
      <c r="AU54" s="14">
        <f>IF(AT92&gt;0,SUM($C$35:AT35)/60,0)</f>
        <v>0</v>
      </c>
      <c r="AV54" s="14">
        <f>IF(AU92&gt;0,SUM($C$35:AU35)/60,0)</f>
        <v>0</v>
      </c>
      <c r="AW54" s="14">
        <f>IF(AV92&gt;0,SUM($C$35:AV35)/60,0)</f>
        <v>0</v>
      </c>
      <c r="AX54" s="14">
        <f>IF(AW92&gt;0,SUM($C$35:AW35)/60,0)</f>
        <v>0</v>
      </c>
      <c r="AY54" s="14">
        <f>IF(AX92&gt;0,SUM($C$35:AX35)/60,0)</f>
        <v>0</v>
      </c>
      <c r="AZ54" s="14">
        <f>IF(AY92&gt;0,SUM($C$35:AY35)/60,0)</f>
        <v>0</v>
      </c>
      <c r="BA54" s="14">
        <f>IF(AZ92&gt;0,SUM($C$35:AZ35)/60,0)</f>
        <v>0</v>
      </c>
      <c r="BB54" s="14">
        <f>IF(BA92&gt;0,SUM($C$35:BA35)/60,0)</f>
        <v>0</v>
      </c>
      <c r="BC54" s="14">
        <f>IF(BB92&gt;0,SUM($C$35:BB35)/60,0)</f>
        <v>0</v>
      </c>
      <c r="BD54" s="14">
        <f>IF(BC92&gt;0,SUM($C$35:BC35)/60,0)</f>
        <v>0</v>
      </c>
      <c r="BE54" s="14">
        <f>IF(BD92&gt;0,SUM($C$35:BD35)/60,0)</f>
        <v>0</v>
      </c>
      <c r="BF54" s="14">
        <f>IF(BE92&gt;0,SUM($C$35:BE35)/60,0)</f>
        <v>0</v>
      </c>
      <c r="BG54" s="14">
        <f>IF(BF92&gt;0,SUM($C$35:BF35)/60,0)</f>
        <v>0</v>
      </c>
      <c r="BH54" s="14">
        <f>IF(BG92&gt;0,SUM($C$35:BG35)/60,0)</f>
        <v>0</v>
      </c>
      <c r="BI54" s="14">
        <f>IF(BH92&gt;0,SUM($C$35:BH35)/60,0)</f>
        <v>0</v>
      </c>
      <c r="BJ54" s="14">
        <f>IF(BI92&gt;0,SUM($C$35:BI35)/60,0)</f>
        <v>0</v>
      </c>
      <c r="BK54" s="14">
        <f>IF(BJ92&gt;0,SUM($C$35:BJ35)/60,0)</f>
        <v>0</v>
      </c>
      <c r="BL54" s="93">
        <f>IF(BK92&gt;0,SUM($C$35:BK35)/60,0)</f>
        <v>0</v>
      </c>
      <c r="BM54" s="93">
        <f>IF(BL92&gt;0,SUM($C$35:BL35)/60,0)</f>
        <v>0</v>
      </c>
      <c r="BN54" s="93" t="e">
        <f>IF(BM92&gt;0,SUM($C$35:BM35)/60,0)</f>
        <v>#DIV/0!</v>
      </c>
      <c r="BO54" s="93" t="e">
        <f>IF(BN92&gt;0,SUM($C$35:BN35)/60,0)</f>
        <v>#DIV/0!</v>
      </c>
      <c r="BP54" s="93" t="e">
        <f>IF(BO92&gt;0,SUM($C$35:BO35)/60,0)</f>
        <v>#DIV/0!</v>
      </c>
      <c r="BQ54" s="93" t="e">
        <f>IF(BP92&gt;0,SUM($C$35:BP35)/60,0)</f>
        <v>#DIV/0!</v>
      </c>
      <c r="BR54" s="93" t="e">
        <f>IF(BQ92&gt;0,SUM($C$35:BQ35)/60,0)</f>
        <v>#DIV/0!</v>
      </c>
      <c r="BS54" s="93" t="e">
        <f>IF(BR92&gt;0,SUM($C$35:BR35)/60,0)</f>
        <v>#DIV/0!</v>
      </c>
      <c r="BT54" s="93" t="e">
        <f>IF(BS92&gt;0,SUM($C$35:BS35)/60,0)</f>
        <v>#DIV/0!</v>
      </c>
      <c r="BU54" s="93" t="e">
        <f>IF(BT92&gt;0,SUM($C$35:BT35)/60,0)</f>
        <v>#DIV/0!</v>
      </c>
      <c r="BV54" s="93" t="e">
        <f>IF(BU92&gt;0,SUM($C$35:BU35)/60,0)</f>
        <v>#DIV/0!</v>
      </c>
      <c r="BW54" s="93" t="e">
        <f>IF(BV92&gt;0,SUM($C$35:BV35)/60,0)</f>
        <v>#DIV/0!</v>
      </c>
    </row>
    <row r="55" spans="1:75" hidden="1" x14ac:dyDescent="0.3">
      <c r="A55" s="104" t="str">
        <f t="shared" si="7"/>
        <v xml:space="preserve">Abonos a capital del crédito </v>
      </c>
      <c r="B55" s="105"/>
      <c r="C55" s="14"/>
      <c r="D55" s="14">
        <f>IF(C93&gt;0,SUM($C$36:C36)/60,0)</f>
        <v>0</v>
      </c>
      <c r="E55" s="14">
        <f>IF(D93&gt;0,SUM($C$36:D36)/60,0)</f>
        <v>0</v>
      </c>
      <c r="F55" s="14">
        <f>IF(E93&gt;0,SUM($C$36:E36)/60,0)</f>
        <v>0</v>
      </c>
      <c r="G55" s="14">
        <f>IF(F93&gt;0,SUM($C$36:F36)/60,0)</f>
        <v>0</v>
      </c>
      <c r="H55" s="14">
        <f>IF(G93&gt;0,SUM($C$36:G36)/60,0)</f>
        <v>0</v>
      </c>
      <c r="I55" s="14">
        <f>IF(H93&gt;0,SUM($C$36:H36)/60,0)</f>
        <v>0</v>
      </c>
      <c r="J55" s="14">
        <f>IF(I93&gt;0,SUM($C$36:I36)/60,0)</f>
        <v>0</v>
      </c>
      <c r="K55" s="14">
        <f>IF(J93&gt;0,SUM($C$36:J36)/60,0)</f>
        <v>0</v>
      </c>
      <c r="L55" s="14">
        <f>IF(K93&gt;0,SUM($C$36:K36)/60,0)</f>
        <v>0</v>
      </c>
      <c r="M55" s="14">
        <f>IF(L93&gt;0,SUM($C$36:L36)/60,0)</f>
        <v>0</v>
      </c>
      <c r="N55" s="14">
        <f>IF(M93&gt;0,SUM($C$36:M36)/60,0)</f>
        <v>0</v>
      </c>
      <c r="O55" s="14">
        <f>IF(N93&gt;0,SUM($C$36:N36)/60,0)</f>
        <v>0</v>
      </c>
      <c r="P55" s="14">
        <f>IF(O93&gt;0,SUM($C$36:O36)/60,0)</f>
        <v>0</v>
      </c>
      <c r="Q55" s="14">
        <f>IF(P93&gt;0,SUM($C$36:P36)/60,0)</f>
        <v>0</v>
      </c>
      <c r="R55" s="14">
        <f>IF(Q93&gt;0,SUM($C$36:Q36)/60,0)</f>
        <v>0</v>
      </c>
      <c r="S55" s="14">
        <f>IF(R93&gt;0,SUM($C$36:R36)/60,0)</f>
        <v>0</v>
      </c>
      <c r="T55" s="14">
        <f>IF(S93&gt;0,SUM($C$36:S36)/60,0)</f>
        <v>0</v>
      </c>
      <c r="U55" s="14">
        <f>IF(T93&gt;0,SUM($C$36:T36)/60,0)</f>
        <v>0</v>
      </c>
      <c r="V55" s="14">
        <f>IF(U93&gt;0,SUM($C$36:U36)/60,0)</f>
        <v>0</v>
      </c>
      <c r="W55" s="14">
        <f>IF(V93&gt;0,SUM($C$36:V36)/60,0)</f>
        <v>0</v>
      </c>
      <c r="X55" s="14">
        <f>IF(W93&gt;0,SUM($C$36:W36)/60,0)</f>
        <v>0</v>
      </c>
      <c r="Y55" s="14">
        <f>IF(X93&gt;0,SUM($C$36:X36)/60,0)</f>
        <v>0</v>
      </c>
      <c r="Z55" s="14">
        <f>IF(Y93&gt;0,SUM($C$36:Y36)/60,0)</f>
        <v>0</v>
      </c>
      <c r="AA55" s="14">
        <f>IF(Z93&gt;0,SUM($C$36:Z36)/60,0)</f>
        <v>0</v>
      </c>
      <c r="AB55" s="14">
        <f>IF(AA93&gt;0,SUM($C$36:AA36)/60,0)</f>
        <v>0</v>
      </c>
      <c r="AC55" s="14">
        <f>IF(AB93&gt;0,SUM($C$36:AB36)/60,0)</f>
        <v>0</v>
      </c>
      <c r="AD55" s="14">
        <f>IF(AC93&gt;0,SUM($C$36:AC36)/60,0)</f>
        <v>0</v>
      </c>
      <c r="AE55" s="14">
        <f>IF(AD93&gt;0,SUM($C$36:AD36)/60,0)</f>
        <v>0</v>
      </c>
      <c r="AF55" s="14">
        <f>IF(AE93&gt;0,SUM($C$36:AE36)/60,0)</f>
        <v>0</v>
      </c>
      <c r="AG55" s="14">
        <f>IF(AF93&gt;0,SUM($C$36:AF36)/60,0)</f>
        <v>0</v>
      </c>
      <c r="AH55" s="14">
        <f>IF(AG93&gt;0,SUM($C$36:AG36)/60,0)</f>
        <v>0</v>
      </c>
      <c r="AI55" s="14">
        <f>IF(AH93&gt;0,SUM($C$36:AH36)/60,0)</f>
        <v>0</v>
      </c>
      <c r="AJ55" s="14">
        <f>IF(AI93&gt;0,SUM($C$36:AI36)/60,0)</f>
        <v>0</v>
      </c>
      <c r="AK55" s="14">
        <f>IF(AJ93&gt;0,SUM($C$36:AJ36)/60,0)</f>
        <v>0</v>
      </c>
      <c r="AL55" s="14">
        <f>IF(AK93&gt;0,SUM($C$36:AK36)/60,0)</f>
        <v>0</v>
      </c>
      <c r="AM55" s="14">
        <f>IF(AL93&gt;0,SUM($C$36:AL36)/60,0)</f>
        <v>0</v>
      </c>
      <c r="AN55" s="14">
        <f>IF(AM93&gt;0,SUM($C$36:AM36)/60,0)</f>
        <v>0</v>
      </c>
      <c r="AO55" s="14">
        <f>IF(AN93&gt;0,SUM($C$36:AN36)/60,0)</f>
        <v>0</v>
      </c>
      <c r="AP55" s="14">
        <f>IF(AO93&gt;0,SUM($C$36:AO36)/60,0)</f>
        <v>0</v>
      </c>
      <c r="AQ55" s="14">
        <f>IF(AP93&gt;0,SUM($C$36:AP36)/60,0)</f>
        <v>0</v>
      </c>
      <c r="AR55" s="14">
        <f>IF(AQ93&gt;0,SUM($C$36:AQ36)/60,0)</f>
        <v>0</v>
      </c>
      <c r="AS55" s="14">
        <f>IF(AR93&gt;0,SUM($C$36:AR36)/60,0)</f>
        <v>0</v>
      </c>
      <c r="AT55" s="14">
        <f>IF(AS93&gt;0,SUM($C$36:AS36)/60,0)</f>
        <v>0</v>
      </c>
      <c r="AU55" s="14">
        <f>IF(AT93&gt;0,SUM($C$36:AT36)/60,0)</f>
        <v>0</v>
      </c>
      <c r="AV55" s="14">
        <f>IF(AU93&gt;0,SUM($C$36:AU36)/60,0)</f>
        <v>0</v>
      </c>
      <c r="AW55" s="14">
        <f>IF(AV93&gt;0,SUM($C$36:AV36)/60,0)</f>
        <v>0</v>
      </c>
      <c r="AX55" s="14">
        <f>IF(AW93&gt;0,SUM($C$36:AW36)/60,0)</f>
        <v>0</v>
      </c>
      <c r="AY55" s="14">
        <f>IF(AX93&gt;0,SUM($C$36:AX36)/60,0)</f>
        <v>0</v>
      </c>
      <c r="AZ55" s="14">
        <f>IF(AY93&gt;0,SUM($C$36:AY36)/60,0)</f>
        <v>0</v>
      </c>
      <c r="BA55" s="14">
        <f>IF(AZ93&gt;0,SUM($C$36:AZ36)/60,0)</f>
        <v>0</v>
      </c>
      <c r="BB55" s="14">
        <f>IF(BA93&gt;0,SUM($C$36:BA36)/60,0)</f>
        <v>0</v>
      </c>
      <c r="BC55" s="14">
        <f>IF(BB93&gt;0,SUM($C$36:BB36)/60,0)</f>
        <v>0</v>
      </c>
      <c r="BD55" s="14">
        <f>IF(BC93&gt;0,SUM($C$36:BC36)/60,0)</f>
        <v>0</v>
      </c>
      <c r="BE55" s="14">
        <f>IF(BD93&gt;0,SUM($C$36:BD36)/60,0)</f>
        <v>0</v>
      </c>
      <c r="BF55" s="14">
        <f>IF(BE93&gt;0,SUM($C$36:BE36)/60,0)</f>
        <v>0</v>
      </c>
      <c r="BG55" s="14">
        <f>IF(BF93&gt;0,SUM($C$36:BF36)/60,0)</f>
        <v>0</v>
      </c>
      <c r="BH55" s="14">
        <f>IF(BG93&gt;0,SUM($C$36:BG36)/60,0)</f>
        <v>0</v>
      </c>
      <c r="BI55" s="14">
        <f>IF(BH93&gt;0,SUM($C$36:BH36)/60,0)</f>
        <v>0</v>
      </c>
      <c r="BJ55" s="14">
        <f>IF(BI93&gt;0,SUM($C$36:BI36)/60,0)</f>
        <v>0</v>
      </c>
      <c r="BK55" s="14">
        <f>IF(BJ93&gt;0,SUM($C$36:BJ36)/60,0)</f>
        <v>0</v>
      </c>
      <c r="BL55" s="93">
        <f>IF(BK93&gt;0,SUM($C$36:BK36)/60,0)</f>
        <v>0</v>
      </c>
      <c r="BM55" s="93">
        <f>IF(BL93&gt;0,SUM($C$36:BL36)/60,0)</f>
        <v>0</v>
      </c>
      <c r="BN55" s="93" t="e">
        <f>IF(BM93&gt;0,SUM($C$36:BM36)/60,0)</f>
        <v>#DIV/0!</v>
      </c>
      <c r="BO55" s="93" t="e">
        <f>IF(BN93&gt;0,SUM($C$36:BN36)/60,0)</f>
        <v>#DIV/0!</v>
      </c>
      <c r="BP55" s="93" t="e">
        <f>IF(BO93&gt;0,SUM($C$36:BO36)/60,0)</f>
        <v>#DIV/0!</v>
      </c>
      <c r="BQ55" s="93" t="e">
        <f>IF(BP93&gt;0,SUM($C$36:BP36)/60,0)</f>
        <v>#DIV/0!</v>
      </c>
      <c r="BR55" s="93" t="e">
        <f>IF(BQ93&gt;0,SUM($C$36:BQ36)/60,0)</f>
        <v>#DIV/0!</v>
      </c>
      <c r="BS55" s="93" t="e">
        <f>IF(BR93&gt;0,SUM($C$36:BR36)/60,0)</f>
        <v>#DIV/0!</v>
      </c>
      <c r="BT55" s="93" t="e">
        <f>IF(BS93&gt;0,SUM($C$36:BS36)/60,0)</f>
        <v>#DIV/0!</v>
      </c>
      <c r="BU55" s="93" t="e">
        <f>IF(BT93&gt;0,SUM($C$36:BT36)/60,0)</f>
        <v>#DIV/0!</v>
      </c>
      <c r="BV55" s="93" t="e">
        <f>IF(BU93&gt;0,SUM($C$36:BU36)/60,0)</f>
        <v>#DIV/0!</v>
      </c>
      <c r="BW55" s="93" t="e">
        <f>IF(BV93&gt;0,SUM($C$36:BV36)/60,0)</f>
        <v>#DIV/0!</v>
      </c>
    </row>
    <row r="56" spans="1:75" hidden="1" x14ac:dyDescent="0.3">
      <c r="A56" s="104" t="str">
        <f t="shared" si="7"/>
        <v xml:space="preserve">Abonos a capital del crédito </v>
      </c>
      <c r="B56" s="105"/>
      <c r="C56" s="14"/>
      <c r="D56" s="14">
        <f>IF(C94&gt;0,SUM($C$37:C37)/60,0)</f>
        <v>0</v>
      </c>
      <c r="E56" s="14">
        <f>IF(D94&gt;0,SUM($C$37:D37)/60,0)</f>
        <v>0</v>
      </c>
      <c r="F56" s="14">
        <f>IF(E94&gt;0,SUM($C$37:E37)/60,0)</f>
        <v>0</v>
      </c>
      <c r="G56" s="14">
        <f>IF(F94&gt;0,SUM($C$37:F37)/60,0)</f>
        <v>0</v>
      </c>
      <c r="H56" s="14">
        <f>IF(G94&gt;0,SUM($C$37:G37)/60,0)</f>
        <v>0</v>
      </c>
      <c r="I56" s="14">
        <f>IF(H94&gt;0,SUM($C$37:H37)/60,0)</f>
        <v>0</v>
      </c>
      <c r="J56" s="14">
        <f>IF(I94&gt;0,SUM($C$37:I37)/60,0)</f>
        <v>0</v>
      </c>
      <c r="K56" s="14">
        <f>IF(J94&gt;0,SUM($C$37:J37)/60,0)</f>
        <v>0</v>
      </c>
      <c r="L56" s="14">
        <f>IF(K94&gt;0,SUM($C$37:K37)/60,0)</f>
        <v>0</v>
      </c>
      <c r="M56" s="14">
        <f>IF(L94&gt;0,SUM($C$37:L37)/60,0)</f>
        <v>0</v>
      </c>
      <c r="N56" s="14">
        <f>IF(M94&gt;0,SUM($C$37:M37)/60,0)</f>
        <v>0</v>
      </c>
      <c r="O56" s="14">
        <f>IF(N94&gt;0,SUM($C$37:N37)/60,0)</f>
        <v>0</v>
      </c>
      <c r="P56" s="14">
        <f>IF(O94&gt;0,SUM($C$37:O37)/60,0)</f>
        <v>0</v>
      </c>
      <c r="Q56" s="14">
        <f>IF(P94&gt;0,SUM($C$37:P37)/60,0)</f>
        <v>0</v>
      </c>
      <c r="R56" s="14">
        <f>IF(Q94&gt;0,SUM($C$37:Q37)/60,0)</f>
        <v>0</v>
      </c>
      <c r="S56" s="14">
        <f>IF(R94&gt;0,SUM($C$37:R37)/60,0)</f>
        <v>0</v>
      </c>
      <c r="T56" s="14">
        <f>IF(S94&gt;0,SUM($C$37:S37)/60,0)</f>
        <v>0</v>
      </c>
      <c r="U56" s="14">
        <f>IF(T94&gt;0,SUM($C$37:T37)/60,0)</f>
        <v>0</v>
      </c>
      <c r="V56" s="14">
        <f>IF(U94&gt;0,SUM($C$37:U37)/60,0)</f>
        <v>0</v>
      </c>
      <c r="W56" s="14">
        <f>IF(V94&gt;0,SUM($C$37:V37)/60,0)</f>
        <v>0</v>
      </c>
      <c r="X56" s="14">
        <f>IF(W94&gt;0,SUM($C$37:W37)/60,0)</f>
        <v>0</v>
      </c>
      <c r="Y56" s="14">
        <f>IF(X94&gt;0,SUM($C$37:X37)/60,0)</f>
        <v>0</v>
      </c>
      <c r="Z56" s="14">
        <f>IF(Y94&gt;0,SUM($C$37:Y37)/60,0)</f>
        <v>0</v>
      </c>
      <c r="AA56" s="14">
        <f>IF(Z94&gt;0,SUM($C$37:Z37)/60,0)</f>
        <v>0</v>
      </c>
      <c r="AB56" s="14">
        <f>IF(AA94&gt;0,SUM($C$37:AA37)/60,0)</f>
        <v>0</v>
      </c>
      <c r="AC56" s="14">
        <f>IF(AB94&gt;0,SUM($C$37:AB37)/60,0)</f>
        <v>0</v>
      </c>
      <c r="AD56" s="14">
        <f>IF(AC94&gt;0,SUM($C$37:AC37)/60,0)</f>
        <v>0</v>
      </c>
      <c r="AE56" s="14">
        <f>IF(AD94&gt;0,SUM($C$37:AD37)/60,0)</f>
        <v>0</v>
      </c>
      <c r="AF56" s="14">
        <f>IF(AE94&gt;0,SUM($C$37:AE37)/60,0)</f>
        <v>0</v>
      </c>
      <c r="AG56" s="14">
        <f>IF(AF94&gt;0,SUM($C$37:AF37)/60,0)</f>
        <v>0</v>
      </c>
      <c r="AH56" s="14">
        <f>IF(AG94&gt;0,SUM($C$37:AG37)/60,0)</f>
        <v>0</v>
      </c>
      <c r="AI56" s="14">
        <f>IF(AH94&gt;0,SUM($C$37:AH37)/60,0)</f>
        <v>0</v>
      </c>
      <c r="AJ56" s="14">
        <f>IF(AI94&gt;0,SUM($C$37:AI37)/60,0)</f>
        <v>0</v>
      </c>
      <c r="AK56" s="14">
        <f>IF(AJ94&gt;0,SUM($C$37:AJ37)/60,0)</f>
        <v>0</v>
      </c>
      <c r="AL56" s="14">
        <f>IF(AK94&gt;0,SUM($C$37:AK37)/60,0)</f>
        <v>0</v>
      </c>
      <c r="AM56" s="14">
        <f>IF(AL94&gt;0,SUM($C$37:AL37)/60,0)</f>
        <v>0</v>
      </c>
      <c r="AN56" s="14">
        <f>IF(AM94&gt;0,SUM($C$37:AM37)/60,0)</f>
        <v>0</v>
      </c>
      <c r="AO56" s="14">
        <f>IF(AN94&gt;0,SUM($C$37:AN37)/60,0)</f>
        <v>0</v>
      </c>
      <c r="AP56" s="14">
        <f>IF(AO94&gt;0,SUM($C$37:AO37)/60,0)</f>
        <v>0</v>
      </c>
      <c r="AQ56" s="14">
        <f>IF(AP94&gt;0,SUM($C$37:AP37)/60,0)</f>
        <v>0</v>
      </c>
      <c r="AR56" s="14">
        <f>IF(AQ94&gt;0,SUM($C$37:AQ37)/60,0)</f>
        <v>0</v>
      </c>
      <c r="AS56" s="14">
        <f>IF(AR94&gt;0,SUM($C$37:AR37)/60,0)</f>
        <v>0</v>
      </c>
      <c r="AT56" s="14">
        <f>IF(AS94&gt;0,SUM($C$37:AS37)/60,0)</f>
        <v>0</v>
      </c>
      <c r="AU56" s="14">
        <f>IF(AT94&gt;0,SUM($C$37:AT37)/60,0)</f>
        <v>0</v>
      </c>
      <c r="AV56" s="14">
        <f>IF(AU94&gt;0,SUM($C$37:AU37)/60,0)</f>
        <v>0</v>
      </c>
      <c r="AW56" s="14">
        <f>IF(AV94&gt;0,SUM($C$37:AV37)/60,0)</f>
        <v>0</v>
      </c>
      <c r="AX56" s="14">
        <f>IF(AW94&gt;0,SUM($C$37:AW37)/60,0)</f>
        <v>0</v>
      </c>
      <c r="AY56" s="14">
        <f>IF(AX94&gt;0,SUM($C$37:AX37)/60,0)</f>
        <v>0</v>
      </c>
      <c r="AZ56" s="14">
        <f>IF(AY94&gt;0,SUM($C$37:AY37)/60,0)</f>
        <v>0</v>
      </c>
      <c r="BA56" s="14">
        <f>IF(AZ94&gt;0,SUM($C$37:AZ37)/60,0)</f>
        <v>0</v>
      </c>
      <c r="BB56" s="14">
        <f>IF(BA94&gt;0,SUM($C$37:BA37)/60,0)</f>
        <v>0</v>
      </c>
      <c r="BC56" s="14">
        <f>IF(BB94&gt;0,SUM($C$37:BB37)/60,0)</f>
        <v>0</v>
      </c>
      <c r="BD56" s="14">
        <f>IF(BC94&gt;0,SUM($C$37:BC37)/60,0)</f>
        <v>0</v>
      </c>
      <c r="BE56" s="14">
        <f>IF(BD94&gt;0,SUM($C$37:BD37)/60,0)</f>
        <v>0</v>
      </c>
      <c r="BF56" s="14">
        <f>IF(BE94&gt;0,SUM($C$37:BE37)/60,0)</f>
        <v>0</v>
      </c>
      <c r="BG56" s="14">
        <f>IF(BF94&gt;0,SUM($C$37:BF37)/60,0)</f>
        <v>0</v>
      </c>
      <c r="BH56" s="14">
        <f>IF(BG94&gt;0,SUM($C$37:BG37)/60,0)</f>
        <v>0</v>
      </c>
      <c r="BI56" s="14">
        <f>IF(BH94&gt;0,SUM($C$37:BH37)/60,0)</f>
        <v>0</v>
      </c>
      <c r="BJ56" s="14">
        <f>IF(BI94&gt;0,SUM($C$37:BI37)/60,0)</f>
        <v>0</v>
      </c>
      <c r="BK56" s="14">
        <f>IF(BJ94&gt;0,SUM($C$37:BJ37)/60,0)</f>
        <v>0</v>
      </c>
      <c r="BL56" s="93">
        <f>IF(BK94&gt;0,SUM($C$37:BK37)/60,0)</f>
        <v>0</v>
      </c>
      <c r="BM56" s="93">
        <f>IF(BL94&gt;0,SUM($C$37:BL37)/60,0)</f>
        <v>0</v>
      </c>
      <c r="BN56" s="93" t="e">
        <f>IF(BM94&gt;0,SUM($C$37:BM37)/60,0)</f>
        <v>#DIV/0!</v>
      </c>
      <c r="BO56" s="93" t="e">
        <f>IF(BN94&gt;0,SUM($C$37:BN37)/60,0)</f>
        <v>#DIV/0!</v>
      </c>
      <c r="BP56" s="93" t="e">
        <f>IF(BO94&gt;0,SUM($C$37:BO37)/60,0)</f>
        <v>#DIV/0!</v>
      </c>
      <c r="BQ56" s="93" t="e">
        <f>IF(BP94&gt;0,SUM($C$37:BP37)/60,0)</f>
        <v>#DIV/0!</v>
      </c>
      <c r="BR56" s="93" t="e">
        <f>IF(BQ94&gt;0,SUM($C$37:BQ37)/60,0)</f>
        <v>#DIV/0!</v>
      </c>
      <c r="BS56" s="93" t="e">
        <f>IF(BR94&gt;0,SUM($C$37:BR37)/60,0)</f>
        <v>#DIV/0!</v>
      </c>
      <c r="BT56" s="93" t="e">
        <f>IF(BS94&gt;0,SUM($C$37:BS37)/60,0)</f>
        <v>#DIV/0!</v>
      </c>
      <c r="BU56" s="93" t="e">
        <f>IF(BT94&gt;0,SUM($C$37:BT37)/60,0)</f>
        <v>#DIV/0!</v>
      </c>
      <c r="BV56" s="93" t="e">
        <f>IF(BU94&gt;0,SUM($C$37:BU37)/60,0)</f>
        <v>#DIV/0!</v>
      </c>
      <c r="BW56" s="93" t="e">
        <f>IF(BV94&gt;0,SUM($C$37:BV37)/60,0)</f>
        <v>#DIV/0!</v>
      </c>
    </row>
    <row r="57" spans="1:75" hidden="1" x14ac:dyDescent="0.3">
      <c r="A57" s="104" t="str">
        <f t="shared" si="7"/>
        <v xml:space="preserve">Abonos a capital del crédito </v>
      </c>
      <c r="B57" s="105"/>
      <c r="C57" s="14"/>
      <c r="D57" s="14">
        <f>IF(C95&gt;0,SUM($C$38:C38)/60,0)</f>
        <v>0</v>
      </c>
      <c r="E57" s="14">
        <f>IF(D95&gt;0,SUM($C$38:D38)/60,0)</f>
        <v>0</v>
      </c>
      <c r="F57" s="14">
        <f>IF(E95&gt;0,SUM($C$38:E38)/60,0)</f>
        <v>0</v>
      </c>
      <c r="G57" s="14">
        <f>IF(F95&gt;0,SUM($C$38:F38)/60,0)</f>
        <v>0</v>
      </c>
      <c r="H57" s="14">
        <f>IF(G95&gt;0,SUM($C$38:G38)/60,0)</f>
        <v>0</v>
      </c>
      <c r="I57" s="14">
        <f>IF(H95&gt;0,SUM($C$38:H38)/60,0)</f>
        <v>0</v>
      </c>
      <c r="J57" s="14">
        <f>IF(I95&gt;0,SUM($C$38:I38)/60,0)</f>
        <v>0</v>
      </c>
      <c r="K57" s="14">
        <f>IF(J95&gt;0,SUM($C$38:J38)/60,0)</f>
        <v>0</v>
      </c>
      <c r="L57" s="14">
        <f>IF(K95&gt;0,SUM($C$38:K38)/60,0)</f>
        <v>0</v>
      </c>
      <c r="M57" s="14">
        <f>IF(L95&gt;0,SUM($C$38:L38)/60,0)</f>
        <v>0</v>
      </c>
      <c r="N57" s="14">
        <f>IF(M95&gt;0,SUM($C$38:M38)/60,0)</f>
        <v>0</v>
      </c>
      <c r="O57" s="14">
        <f>IF(N95&gt;0,SUM($C$38:N38)/60,0)</f>
        <v>0</v>
      </c>
      <c r="P57" s="14">
        <f>IF(O95&gt;0,SUM($C$38:O38)/60,0)</f>
        <v>0</v>
      </c>
      <c r="Q57" s="14">
        <f>IF(P95&gt;0,SUM($C$38:P38)/60,0)</f>
        <v>0</v>
      </c>
      <c r="R57" s="14">
        <f>IF(Q95&gt;0,SUM($C$38:Q38)/60,0)</f>
        <v>0</v>
      </c>
      <c r="S57" s="14">
        <f>IF(R95&gt;0,SUM($C$38:R38)/60,0)</f>
        <v>0</v>
      </c>
      <c r="T57" s="14">
        <f>IF(S95&gt;0,SUM($C$38:S38)/60,0)</f>
        <v>0</v>
      </c>
      <c r="U57" s="14">
        <f>IF(T95&gt;0,SUM($C$38:T38)/60,0)</f>
        <v>0</v>
      </c>
      <c r="V57" s="14">
        <f>IF(U95&gt;0,SUM($C$38:U38)/60,0)</f>
        <v>0</v>
      </c>
      <c r="W57" s="14">
        <f>IF(V95&gt;0,SUM($C$38:V38)/60,0)</f>
        <v>0</v>
      </c>
      <c r="X57" s="14">
        <f>IF(W95&gt;0,SUM($C$38:W38)/60,0)</f>
        <v>0</v>
      </c>
      <c r="Y57" s="14">
        <f>IF(X95&gt;0,SUM($C$38:X38)/60,0)</f>
        <v>0</v>
      </c>
      <c r="Z57" s="14">
        <f>IF(Y95&gt;0,SUM($C$38:Y38)/60,0)</f>
        <v>0</v>
      </c>
      <c r="AA57" s="14">
        <f>IF(Z95&gt;0,SUM($C$38:Z38)/60,0)</f>
        <v>0</v>
      </c>
      <c r="AB57" s="14">
        <f>IF(AA95&gt;0,SUM($C$38:AA38)/60,0)</f>
        <v>0</v>
      </c>
      <c r="AC57" s="14">
        <f>IF(AB95&gt;0,SUM($C$38:AB38)/60,0)</f>
        <v>0</v>
      </c>
      <c r="AD57" s="14">
        <f>IF(AC95&gt;0,SUM($C$38:AC38)/60,0)</f>
        <v>0</v>
      </c>
      <c r="AE57" s="14">
        <f>IF(AD95&gt;0,SUM($C$38:AD38)/60,0)</f>
        <v>0</v>
      </c>
      <c r="AF57" s="14">
        <f>IF(AE95&gt;0,SUM($C$38:AE38)/60,0)</f>
        <v>0</v>
      </c>
      <c r="AG57" s="14">
        <f>IF(AF95&gt;0,SUM($C$38:AF38)/60,0)</f>
        <v>0</v>
      </c>
      <c r="AH57" s="14">
        <f>IF(AG95&gt;0,SUM($C$38:AG38)/60,0)</f>
        <v>0</v>
      </c>
      <c r="AI57" s="14">
        <f>IF(AH95&gt;0,SUM($C$38:AH38)/60,0)</f>
        <v>0</v>
      </c>
      <c r="AJ57" s="14">
        <f>IF(AI95&gt;0,SUM($C$38:AI38)/60,0)</f>
        <v>0</v>
      </c>
      <c r="AK57" s="14">
        <f>IF(AJ95&gt;0,SUM($C$38:AJ38)/60,0)</f>
        <v>0</v>
      </c>
      <c r="AL57" s="14">
        <f>IF(AK95&gt;0,SUM($C$38:AK38)/60,0)</f>
        <v>0</v>
      </c>
      <c r="AM57" s="14">
        <f>IF(AL95&gt;0,SUM($C$38:AL38)/60,0)</f>
        <v>0</v>
      </c>
      <c r="AN57" s="14">
        <f>IF(AM95&gt;0,SUM($C$38:AM38)/60,0)</f>
        <v>0</v>
      </c>
      <c r="AO57" s="14">
        <f>IF(AN95&gt;0,SUM($C$38:AN38)/60,0)</f>
        <v>0</v>
      </c>
      <c r="AP57" s="14">
        <f>IF(AO95&gt;0,SUM($C$38:AO38)/60,0)</f>
        <v>0</v>
      </c>
      <c r="AQ57" s="14">
        <f>IF(AP95&gt;0,SUM($C$38:AP38)/60,0)</f>
        <v>0</v>
      </c>
      <c r="AR57" s="14">
        <f>IF(AQ95&gt;0,SUM($C$38:AQ38)/60,0)</f>
        <v>0</v>
      </c>
      <c r="AS57" s="14">
        <f>IF(AR95&gt;0,SUM($C$38:AR38)/60,0)</f>
        <v>0</v>
      </c>
      <c r="AT57" s="14">
        <f>IF(AS95&gt;0,SUM($C$38:AS38)/60,0)</f>
        <v>0</v>
      </c>
      <c r="AU57" s="14">
        <f>IF(AT95&gt;0,SUM($C$38:AT38)/60,0)</f>
        <v>0</v>
      </c>
      <c r="AV57" s="14">
        <f>IF(AU95&gt;0,SUM($C$38:AU38)/60,0)</f>
        <v>0</v>
      </c>
      <c r="AW57" s="14">
        <f>IF(AV95&gt;0,SUM($C$38:AV38)/60,0)</f>
        <v>0</v>
      </c>
      <c r="AX57" s="14">
        <f>IF(AW95&gt;0,SUM($C$38:AW38)/60,0)</f>
        <v>0</v>
      </c>
      <c r="AY57" s="14">
        <f>IF(AX95&gt;0,SUM($C$38:AX38)/60,0)</f>
        <v>0</v>
      </c>
      <c r="AZ57" s="14">
        <f>IF(AY95&gt;0,SUM($C$38:AY38)/60,0)</f>
        <v>0</v>
      </c>
      <c r="BA57" s="14">
        <f>IF(AZ95&gt;0,SUM($C$38:AZ38)/60,0)</f>
        <v>0</v>
      </c>
      <c r="BB57" s="14">
        <f>IF(BA95&gt;0,SUM($C$38:BA38)/60,0)</f>
        <v>0</v>
      </c>
      <c r="BC57" s="14">
        <f>IF(BB95&gt;0,SUM($C$38:BB38)/60,0)</f>
        <v>0</v>
      </c>
      <c r="BD57" s="14">
        <f>IF(BC95&gt;0,SUM($C$38:BC38)/60,0)</f>
        <v>0</v>
      </c>
      <c r="BE57" s="14">
        <f>IF(BD95&gt;0,SUM($C$38:BD38)/60,0)</f>
        <v>0</v>
      </c>
      <c r="BF57" s="14">
        <f>IF(BE95&gt;0,SUM($C$38:BE38)/60,0)</f>
        <v>0</v>
      </c>
      <c r="BG57" s="14">
        <f>IF(BF95&gt;0,SUM($C$38:BF38)/60,0)</f>
        <v>0</v>
      </c>
      <c r="BH57" s="14">
        <f>IF(BG95&gt;0,SUM($C$38:BG38)/60,0)</f>
        <v>0</v>
      </c>
      <c r="BI57" s="14">
        <f>IF(BH95&gt;0,SUM($C$38:BH38)/60,0)</f>
        <v>0</v>
      </c>
      <c r="BJ57" s="14">
        <f>IF(BI95&gt;0,SUM($C$38:BI38)/60,0)</f>
        <v>0</v>
      </c>
      <c r="BK57" s="14">
        <f>IF(BJ95&gt;0,SUM($C$38:BJ38)/60,0)</f>
        <v>0</v>
      </c>
      <c r="BL57" s="93">
        <f>IF(BK95&gt;0,SUM($C$38:BK38)/60,0)</f>
        <v>0</v>
      </c>
      <c r="BM57" s="93">
        <f>IF(BL95&gt;0,SUM($C$38:BL38)/60,0)</f>
        <v>0</v>
      </c>
      <c r="BN57" s="93" t="e">
        <f>IF(BM95&gt;0,SUM($C$38:BM38)/60,0)</f>
        <v>#DIV/0!</v>
      </c>
      <c r="BO57" s="93" t="e">
        <f>IF(BN95&gt;0,SUM($C$38:BN38)/60,0)</f>
        <v>#DIV/0!</v>
      </c>
      <c r="BP57" s="93" t="e">
        <f>IF(BO95&gt;0,SUM($C$38:BO38)/60,0)</f>
        <v>#DIV/0!</v>
      </c>
      <c r="BQ57" s="93" t="e">
        <f>IF(BP95&gt;0,SUM($C$38:BP38)/60,0)</f>
        <v>#DIV/0!</v>
      </c>
      <c r="BR57" s="93" t="e">
        <f>IF(BQ95&gt;0,SUM($C$38:BQ38)/60,0)</f>
        <v>#DIV/0!</v>
      </c>
      <c r="BS57" s="93" t="e">
        <f>IF(BR95&gt;0,SUM($C$38:BR38)/60,0)</f>
        <v>#DIV/0!</v>
      </c>
      <c r="BT57" s="93" t="e">
        <f>IF(BS95&gt;0,SUM($C$38:BS38)/60,0)</f>
        <v>#DIV/0!</v>
      </c>
      <c r="BU57" s="93" t="e">
        <f>IF(BT95&gt;0,SUM($C$38:BT38)/60,0)</f>
        <v>#DIV/0!</v>
      </c>
      <c r="BV57" s="93" t="e">
        <f>IF(BU95&gt;0,SUM($C$38:BU38)/60,0)</f>
        <v>#DIV/0!</v>
      </c>
      <c r="BW57" s="93" t="e">
        <f>IF(BV95&gt;0,SUM($C$38:BV38)/60,0)</f>
        <v>#DIV/0!</v>
      </c>
    </row>
    <row r="58" spans="1:75" hidden="1" x14ac:dyDescent="0.3">
      <c r="A58" s="104" t="str">
        <f t="shared" si="7"/>
        <v xml:space="preserve">Abonos a capital del crédito </v>
      </c>
      <c r="B58" s="105"/>
      <c r="C58" s="14"/>
      <c r="D58" s="14">
        <f>IF(C96&gt;0,SUM($C$39:C39)/60,0)</f>
        <v>0</v>
      </c>
      <c r="E58" s="14">
        <f>IF(D96&gt;0,SUM($C$39:D39)/60,0)</f>
        <v>0</v>
      </c>
      <c r="F58" s="14">
        <f>IF(E96&gt;0,SUM($C$39:E39)/60,0)</f>
        <v>0</v>
      </c>
      <c r="G58" s="14">
        <f>IF(F96&gt;0,SUM($C$39:F39)/60,0)</f>
        <v>0</v>
      </c>
      <c r="H58" s="14">
        <f>IF(G96&gt;0,SUM($C$39:G39)/60,0)</f>
        <v>0</v>
      </c>
      <c r="I58" s="14">
        <f>IF(H96&gt;0,SUM($C$39:H39)/60,0)</f>
        <v>0</v>
      </c>
      <c r="J58" s="14">
        <f>IF(I96&gt;0,SUM($C$39:I39)/60,0)</f>
        <v>0</v>
      </c>
      <c r="K58" s="14">
        <f>IF(J96&gt;0,SUM($C$39:J39)/60,0)</f>
        <v>0</v>
      </c>
      <c r="L58" s="14">
        <f>IF(K96&gt;0,SUM($C$39:K39)/60,0)</f>
        <v>0</v>
      </c>
      <c r="M58" s="14">
        <f>IF(L96&gt;0,SUM($C$39:L39)/60,0)</f>
        <v>0</v>
      </c>
      <c r="N58" s="14">
        <f>IF(M96&gt;0,SUM($C$39:M39)/60,0)</f>
        <v>0</v>
      </c>
      <c r="O58" s="14">
        <f>IF(N96&gt;0,SUM($C$39:N39)/60,0)</f>
        <v>0</v>
      </c>
      <c r="P58" s="14">
        <f>IF(O96&gt;0,SUM($C$39:O39)/60,0)</f>
        <v>0</v>
      </c>
      <c r="Q58" s="14">
        <f>IF(P96&gt;0,SUM($C$39:P39)/60,0)</f>
        <v>0</v>
      </c>
      <c r="R58" s="14">
        <f>IF(Q96&gt;0,SUM($C$39:Q39)/60,0)</f>
        <v>0</v>
      </c>
      <c r="S58" s="14">
        <f>IF(R96&gt;0,SUM($C$39:R39)/60,0)</f>
        <v>0</v>
      </c>
      <c r="T58" s="14">
        <f>IF(S96&gt;0,SUM($C$39:S39)/60,0)</f>
        <v>0</v>
      </c>
      <c r="U58" s="14">
        <f>IF(T96&gt;0,SUM($C$39:T39)/60,0)</f>
        <v>0</v>
      </c>
      <c r="V58" s="14">
        <f>IF(U96&gt;0,SUM($C$39:U39)/60,0)</f>
        <v>0</v>
      </c>
      <c r="W58" s="14">
        <f>IF(V96&gt;0,SUM($C$39:V39)/60,0)</f>
        <v>0</v>
      </c>
      <c r="X58" s="14">
        <f>IF(W96&gt;0,SUM($C$39:W39)/60,0)</f>
        <v>0</v>
      </c>
      <c r="Y58" s="14">
        <f>IF(X96&gt;0,SUM($C$39:X39)/60,0)</f>
        <v>0</v>
      </c>
      <c r="Z58" s="14">
        <f>IF(Y96&gt;0,SUM($C$39:Y39)/60,0)</f>
        <v>0</v>
      </c>
      <c r="AA58" s="14">
        <f>IF(Z96&gt;0,SUM($C$39:Z39)/60,0)</f>
        <v>0</v>
      </c>
      <c r="AB58" s="14">
        <f>IF(AA96&gt;0,SUM($C$39:AA39)/60,0)</f>
        <v>0</v>
      </c>
      <c r="AC58" s="14">
        <f>IF(AB96&gt;0,SUM($C$39:AB39)/60,0)</f>
        <v>0</v>
      </c>
      <c r="AD58" s="14">
        <f>IF(AC96&gt;0,SUM($C$39:AC39)/60,0)</f>
        <v>0</v>
      </c>
      <c r="AE58" s="14">
        <f>IF(AD96&gt;0,SUM($C$39:AD39)/60,0)</f>
        <v>0</v>
      </c>
      <c r="AF58" s="14">
        <f>IF(AE96&gt;0,SUM($C$39:AE39)/60,0)</f>
        <v>0</v>
      </c>
      <c r="AG58" s="14">
        <f>IF(AF96&gt;0,SUM($C$39:AF39)/60,0)</f>
        <v>0</v>
      </c>
      <c r="AH58" s="14">
        <f>IF(AG96&gt;0,SUM($C$39:AG39)/60,0)</f>
        <v>0</v>
      </c>
      <c r="AI58" s="14">
        <f>IF(AH96&gt;0,SUM($C$39:AH39)/60,0)</f>
        <v>0</v>
      </c>
      <c r="AJ58" s="14">
        <f>IF(AI96&gt;0,SUM($C$39:AI39)/60,0)</f>
        <v>0</v>
      </c>
      <c r="AK58" s="14">
        <f>IF(AJ96&gt;0,SUM($C$39:AJ39)/60,0)</f>
        <v>0</v>
      </c>
      <c r="AL58" s="14">
        <f>IF(AK96&gt;0,SUM($C$39:AK39)/60,0)</f>
        <v>0</v>
      </c>
      <c r="AM58" s="14">
        <f>IF(AL96&gt;0,SUM($C$39:AL39)/60,0)</f>
        <v>0</v>
      </c>
      <c r="AN58" s="14">
        <f>IF(AM96&gt;0,SUM($C$39:AM39)/60,0)</f>
        <v>0</v>
      </c>
      <c r="AO58" s="14">
        <f>IF(AN96&gt;0,SUM($C$39:AN39)/60,0)</f>
        <v>0</v>
      </c>
      <c r="AP58" s="14">
        <f>IF(AO96&gt;0,SUM($C$39:AO39)/60,0)</f>
        <v>0</v>
      </c>
      <c r="AQ58" s="14">
        <f>IF(AP96&gt;0,SUM($C$39:AP39)/60,0)</f>
        <v>0</v>
      </c>
      <c r="AR58" s="14">
        <f>IF(AQ96&gt;0,SUM($C$39:AQ39)/60,0)</f>
        <v>0</v>
      </c>
      <c r="AS58" s="14">
        <f>IF(AR96&gt;0,SUM($C$39:AR39)/60,0)</f>
        <v>0</v>
      </c>
      <c r="AT58" s="14">
        <f>IF(AS96&gt;0,SUM($C$39:AS39)/60,0)</f>
        <v>0</v>
      </c>
      <c r="AU58" s="14">
        <f>IF(AT96&gt;0,SUM($C$39:AT39)/60,0)</f>
        <v>0</v>
      </c>
      <c r="AV58" s="14">
        <f>IF(AU96&gt;0,SUM($C$39:AU39)/60,0)</f>
        <v>0</v>
      </c>
      <c r="AW58" s="14">
        <f>IF(AV96&gt;0,SUM($C$39:AV39)/60,0)</f>
        <v>0</v>
      </c>
      <c r="AX58" s="14">
        <f>IF(AW96&gt;0,SUM($C$39:AW39)/60,0)</f>
        <v>0</v>
      </c>
      <c r="AY58" s="14">
        <f>IF(AX96&gt;0,SUM($C$39:AX39)/60,0)</f>
        <v>0</v>
      </c>
      <c r="AZ58" s="14">
        <f>IF(AY96&gt;0,SUM($C$39:AY39)/60,0)</f>
        <v>0</v>
      </c>
      <c r="BA58" s="14">
        <f>IF(AZ96&gt;0,SUM($C$39:AZ39)/60,0)</f>
        <v>0</v>
      </c>
      <c r="BB58" s="14">
        <f>IF(BA96&gt;0,SUM($C$39:BA39)/60,0)</f>
        <v>0</v>
      </c>
      <c r="BC58" s="14">
        <f>IF(BB96&gt;0,SUM($C$39:BB39)/60,0)</f>
        <v>0</v>
      </c>
      <c r="BD58" s="14">
        <f>IF(BC96&gt;0,SUM($C$39:BC39)/60,0)</f>
        <v>0</v>
      </c>
      <c r="BE58" s="14">
        <f>IF(BD96&gt;0,SUM($C$39:BD39)/60,0)</f>
        <v>0</v>
      </c>
      <c r="BF58" s="14">
        <f>IF(BE96&gt;0,SUM($C$39:BE39)/60,0)</f>
        <v>0</v>
      </c>
      <c r="BG58" s="14">
        <f>IF(BF96&gt;0,SUM($C$39:BF39)/60,0)</f>
        <v>0</v>
      </c>
      <c r="BH58" s="14">
        <f>IF(BG96&gt;0,SUM($C$39:BG39)/60,0)</f>
        <v>0</v>
      </c>
      <c r="BI58" s="14">
        <f>IF(BH96&gt;0,SUM($C$39:BH39)/60,0)</f>
        <v>0</v>
      </c>
      <c r="BJ58" s="14">
        <f>IF(BI96&gt;0,SUM($C$39:BI39)/60,0)</f>
        <v>0</v>
      </c>
      <c r="BK58" s="14">
        <f>IF(BJ96&gt;0,SUM($C$39:BJ39)/60,0)</f>
        <v>0</v>
      </c>
      <c r="BL58" s="93">
        <f>IF(BK96&gt;0,SUM($C$39:BK39)/60,0)</f>
        <v>0</v>
      </c>
      <c r="BM58" s="93">
        <f>IF(BL96&gt;0,SUM($C$39:BL39)/60,0)</f>
        <v>0</v>
      </c>
      <c r="BN58" s="93" t="e">
        <f>IF(BM96&gt;0,SUM($C$39:BM39)/60,0)</f>
        <v>#DIV/0!</v>
      </c>
      <c r="BO58" s="93" t="e">
        <f>IF(BN96&gt;0,SUM($C$39:BN39)/60,0)</f>
        <v>#DIV/0!</v>
      </c>
      <c r="BP58" s="93" t="e">
        <f>IF(BO96&gt;0,SUM($C$39:BO39)/60,0)</f>
        <v>#DIV/0!</v>
      </c>
      <c r="BQ58" s="93" t="e">
        <f>IF(BP96&gt;0,SUM($C$39:BP39)/60,0)</f>
        <v>#DIV/0!</v>
      </c>
      <c r="BR58" s="93" t="e">
        <f>IF(BQ96&gt;0,SUM($C$39:BQ39)/60,0)</f>
        <v>#DIV/0!</v>
      </c>
      <c r="BS58" s="93" t="e">
        <f>IF(BR96&gt;0,SUM($C$39:BR39)/60,0)</f>
        <v>#DIV/0!</v>
      </c>
      <c r="BT58" s="93" t="e">
        <f>IF(BS96&gt;0,SUM($C$39:BS39)/60,0)</f>
        <v>#DIV/0!</v>
      </c>
      <c r="BU58" s="93" t="e">
        <f>IF(BT96&gt;0,SUM($C$39:BT39)/60,0)</f>
        <v>#DIV/0!</v>
      </c>
      <c r="BV58" s="93" t="e">
        <f>IF(BU96&gt;0,SUM($C$39:BU39)/60,0)</f>
        <v>#DIV/0!</v>
      </c>
      <c r="BW58" s="93" t="e">
        <f>IF(BV96&gt;0,SUM($C$39:BV39)/60,0)</f>
        <v>#DIV/0!</v>
      </c>
    </row>
    <row r="59" spans="1:75" hidden="1" x14ac:dyDescent="0.3">
      <c r="A59" s="104" t="str">
        <f t="shared" si="7"/>
        <v xml:space="preserve">Abonos a capital del crédito </v>
      </c>
      <c r="B59" s="105"/>
      <c r="C59" s="14"/>
      <c r="D59" s="14">
        <f>IF(C97&gt;0,SUM($C$40:C40)/60,0)</f>
        <v>0</v>
      </c>
      <c r="E59" s="14">
        <f>IF(D97&gt;0,SUM($C$40:D40)/60,0)</f>
        <v>0</v>
      </c>
      <c r="F59" s="14">
        <f>IF(E97&gt;0,SUM($C$40:E40)/60,0)</f>
        <v>0</v>
      </c>
      <c r="G59" s="14">
        <f>IF(F97&gt;0,SUM($C$40:F40)/60,0)</f>
        <v>0</v>
      </c>
      <c r="H59" s="14">
        <f>IF(G97&gt;0,SUM($C$40:G40)/60,0)</f>
        <v>0</v>
      </c>
      <c r="I59" s="14">
        <f>IF(H97&gt;0,SUM($C$40:H40)/60,0)</f>
        <v>0</v>
      </c>
      <c r="J59" s="14">
        <f>IF(I97&gt;0,SUM($C$40:I40)/60,0)</f>
        <v>0</v>
      </c>
      <c r="K59" s="14">
        <f>IF(J97&gt;0,SUM($C$40:J40)/60,0)</f>
        <v>0</v>
      </c>
      <c r="L59" s="14">
        <f>IF(K97&gt;0,SUM($C$40:K40)/60,0)</f>
        <v>0</v>
      </c>
      <c r="M59" s="14">
        <f>IF(L97&gt;0,SUM($C$40:L40)/60,0)</f>
        <v>0</v>
      </c>
      <c r="N59" s="14">
        <f>IF(M97&gt;0,SUM($C$40:M40)/60,0)</f>
        <v>0</v>
      </c>
      <c r="O59" s="14">
        <f>IF(N97&gt;0,SUM($C$40:N40)/60,0)</f>
        <v>0</v>
      </c>
      <c r="P59" s="14">
        <f>IF(O97&gt;0,SUM($C$40:O40)/60,0)</f>
        <v>0</v>
      </c>
      <c r="Q59" s="14">
        <f>IF(P97&gt;0,SUM($C$40:P40)/60,0)</f>
        <v>0</v>
      </c>
      <c r="R59" s="14">
        <f>IF(Q97&gt;0,SUM($C$40:Q40)/60,0)</f>
        <v>0</v>
      </c>
      <c r="S59" s="14">
        <f>IF(R97&gt;0,SUM($C$40:R40)/60,0)</f>
        <v>0</v>
      </c>
      <c r="T59" s="14">
        <f>IF(S97&gt;0,SUM($C$40:S40)/60,0)</f>
        <v>0</v>
      </c>
      <c r="U59" s="14">
        <f>IF(T97&gt;0,SUM($C$40:T40)/60,0)</f>
        <v>0</v>
      </c>
      <c r="V59" s="14">
        <f>IF(U97&gt;0,SUM($C$40:U40)/60,0)</f>
        <v>0</v>
      </c>
      <c r="W59" s="14">
        <f>IF(V97&gt;0,SUM($C$40:V40)/60,0)</f>
        <v>0</v>
      </c>
      <c r="X59" s="14">
        <f>IF(W97&gt;0,SUM($C$40:W40)/60,0)</f>
        <v>0</v>
      </c>
      <c r="Y59" s="14">
        <f>IF(X97&gt;0,SUM($C$40:X40)/60,0)</f>
        <v>0</v>
      </c>
      <c r="Z59" s="14">
        <f>IF(Y97&gt;0,SUM($C$40:Y40)/60,0)</f>
        <v>0</v>
      </c>
      <c r="AA59" s="14">
        <f>IF(Z97&gt;0,SUM($C$40:Z40)/60,0)</f>
        <v>0</v>
      </c>
      <c r="AB59" s="14">
        <f>IF(AA97&gt;0,SUM($C$40:AA40)/60,0)</f>
        <v>0</v>
      </c>
      <c r="AC59" s="14">
        <f>IF(AB97&gt;0,SUM($C$40:AB40)/60,0)</f>
        <v>0</v>
      </c>
      <c r="AD59" s="14">
        <f>IF(AC97&gt;0,SUM($C$40:AC40)/60,0)</f>
        <v>0</v>
      </c>
      <c r="AE59" s="14">
        <f>IF(AD97&gt;0,SUM($C$40:AD40)/60,0)</f>
        <v>0</v>
      </c>
      <c r="AF59" s="14">
        <f>IF(AE97&gt;0,SUM($C$40:AE40)/60,0)</f>
        <v>0</v>
      </c>
      <c r="AG59" s="14">
        <f>IF(AF97&gt;0,SUM($C$40:AF40)/60,0)</f>
        <v>0</v>
      </c>
      <c r="AH59" s="14">
        <f>IF(AG97&gt;0,SUM($C$40:AG40)/60,0)</f>
        <v>0</v>
      </c>
      <c r="AI59" s="14">
        <f>IF(AH97&gt;0,SUM($C$40:AH40)/60,0)</f>
        <v>0</v>
      </c>
      <c r="AJ59" s="14">
        <f>IF(AI97&gt;0,SUM($C$40:AI40)/60,0)</f>
        <v>0</v>
      </c>
      <c r="AK59" s="14">
        <f>IF(AJ97&gt;0,SUM($C$40:AJ40)/60,0)</f>
        <v>0</v>
      </c>
      <c r="AL59" s="14">
        <f>IF(AK97&gt;0,SUM($C$40:AK40)/60,0)</f>
        <v>0</v>
      </c>
      <c r="AM59" s="14">
        <f>IF(AL97&gt;0,SUM($C$40:AL40)/60,0)</f>
        <v>0</v>
      </c>
      <c r="AN59" s="14">
        <f>IF(AM97&gt;0,SUM($C$40:AM40)/60,0)</f>
        <v>0</v>
      </c>
      <c r="AO59" s="14">
        <f>IF(AN97&gt;0,SUM($C$40:AN40)/60,0)</f>
        <v>0</v>
      </c>
      <c r="AP59" s="14">
        <f>IF(AO97&gt;0,SUM($C$40:AO40)/60,0)</f>
        <v>0</v>
      </c>
      <c r="AQ59" s="14">
        <f>IF(AP97&gt;0,SUM($C$40:AP40)/60,0)</f>
        <v>0</v>
      </c>
      <c r="AR59" s="14">
        <f>IF(AQ97&gt;0,SUM($C$40:AQ40)/60,0)</f>
        <v>0</v>
      </c>
      <c r="AS59" s="14">
        <f>IF(AR97&gt;0,SUM($C$40:AR40)/60,0)</f>
        <v>0</v>
      </c>
      <c r="AT59" s="14">
        <f>IF(AS97&gt;0,SUM($C$40:AS40)/60,0)</f>
        <v>0</v>
      </c>
      <c r="AU59" s="14">
        <f>IF(AT97&gt;0,SUM($C$40:AT40)/60,0)</f>
        <v>0</v>
      </c>
      <c r="AV59" s="14">
        <f>IF(AU97&gt;0,SUM($C$40:AU40)/60,0)</f>
        <v>0</v>
      </c>
      <c r="AW59" s="14">
        <f>IF(AV97&gt;0,SUM($C$40:AV40)/60,0)</f>
        <v>0</v>
      </c>
      <c r="AX59" s="14">
        <f>IF(AW97&gt;0,SUM($C$40:AW40)/60,0)</f>
        <v>0</v>
      </c>
      <c r="AY59" s="14">
        <f>IF(AX97&gt;0,SUM($C$40:AX40)/60,0)</f>
        <v>0</v>
      </c>
      <c r="AZ59" s="14">
        <f>IF(AY97&gt;0,SUM($C$40:AY40)/60,0)</f>
        <v>0</v>
      </c>
      <c r="BA59" s="14">
        <f>IF(AZ97&gt;0,SUM($C$40:AZ40)/60,0)</f>
        <v>0</v>
      </c>
      <c r="BB59" s="14">
        <f>IF(BA97&gt;0,SUM($C$40:BA40)/60,0)</f>
        <v>0</v>
      </c>
      <c r="BC59" s="14">
        <f>IF(BB97&gt;0,SUM($C$40:BB40)/60,0)</f>
        <v>0</v>
      </c>
      <c r="BD59" s="14">
        <f>IF(BC97&gt;0,SUM($C$40:BC40)/60,0)</f>
        <v>0</v>
      </c>
      <c r="BE59" s="14">
        <f>IF(BD97&gt;0,SUM($C$40:BD40)/60,0)</f>
        <v>0</v>
      </c>
      <c r="BF59" s="14">
        <f>IF(BE97&gt;0,SUM($C$40:BE40)/60,0)</f>
        <v>0</v>
      </c>
      <c r="BG59" s="14">
        <f>IF(BF97&gt;0,SUM($C$40:BF40)/60,0)</f>
        <v>0</v>
      </c>
      <c r="BH59" s="14">
        <f>IF(BG97&gt;0,SUM($C$40:BG40)/60,0)</f>
        <v>0</v>
      </c>
      <c r="BI59" s="14">
        <f>IF(BH97&gt;0,SUM($C$40:BH40)/60,0)</f>
        <v>0</v>
      </c>
      <c r="BJ59" s="14">
        <f>IF(BI97&gt;0,SUM($C$40:BI40)/60,0)</f>
        <v>0</v>
      </c>
      <c r="BK59" s="14">
        <f>IF(BJ97&gt;0,SUM($C$40:BJ40)/60,0)</f>
        <v>0</v>
      </c>
      <c r="BL59" s="93">
        <f>IF(BK97&gt;0,SUM($C$40:BK40)/60,0)</f>
        <v>0</v>
      </c>
      <c r="BM59" s="93">
        <f>IF(BL97&gt;0,SUM($C$40:BL40)/60,0)</f>
        <v>0</v>
      </c>
      <c r="BN59" s="93" t="e">
        <f>IF(BM97&gt;0,SUM($C$40:BM40)/60,0)</f>
        <v>#DIV/0!</v>
      </c>
      <c r="BO59" s="93" t="e">
        <f>IF(BN97&gt;0,SUM($C$40:BN40)/60,0)</f>
        <v>#DIV/0!</v>
      </c>
      <c r="BP59" s="93" t="e">
        <f>IF(BO97&gt;0,SUM($C$40:BO40)/60,0)</f>
        <v>#DIV/0!</v>
      </c>
      <c r="BQ59" s="93" t="e">
        <f>IF(BP97&gt;0,SUM($C$40:BP40)/60,0)</f>
        <v>#DIV/0!</v>
      </c>
      <c r="BR59" s="93" t="e">
        <f>IF(BQ97&gt;0,SUM($C$40:BQ40)/60,0)</f>
        <v>#DIV/0!</v>
      </c>
      <c r="BS59" s="93" t="e">
        <f>IF(BR97&gt;0,SUM($C$40:BR40)/60,0)</f>
        <v>#DIV/0!</v>
      </c>
      <c r="BT59" s="93" t="e">
        <f>IF(BS97&gt;0,SUM($C$40:BS40)/60,0)</f>
        <v>#DIV/0!</v>
      </c>
      <c r="BU59" s="93" t="e">
        <f>IF(BT97&gt;0,SUM($C$40:BT40)/60,0)</f>
        <v>#DIV/0!</v>
      </c>
      <c r="BV59" s="93" t="e">
        <f>IF(BU97&gt;0,SUM($C$40:BU40)/60,0)</f>
        <v>#DIV/0!</v>
      </c>
      <c r="BW59" s="93" t="e">
        <f>IF(BV97&gt;0,SUM($C$40:BV40)/60,0)</f>
        <v>#DIV/0!</v>
      </c>
    </row>
    <row r="60" spans="1:75" hidden="1" x14ac:dyDescent="0.3">
      <c r="A60" s="104" t="str">
        <f t="shared" si="7"/>
        <v xml:space="preserve">Abonos a capital del crédito </v>
      </c>
      <c r="B60" s="105"/>
      <c r="C60" s="14"/>
      <c r="D60" s="14">
        <f>IF(C98&gt;0,SUM($C$41:C41)/60,0)</f>
        <v>0</v>
      </c>
      <c r="E60" s="14">
        <f>IF(D98&gt;0,SUM($C$41:D41)/60,0)</f>
        <v>0</v>
      </c>
      <c r="F60" s="14">
        <f>IF(E98&gt;0,SUM($C$41:E41)/60,0)</f>
        <v>0</v>
      </c>
      <c r="G60" s="14">
        <f>IF(F98&gt;0,SUM($C$41:F41)/60,0)</f>
        <v>0</v>
      </c>
      <c r="H60" s="14">
        <f>IF(G98&gt;0,SUM($C$41:G41)/60,0)</f>
        <v>0</v>
      </c>
      <c r="I60" s="14">
        <f>IF(H98&gt;0,SUM($C$41:H41)/60,0)</f>
        <v>0</v>
      </c>
      <c r="J60" s="14">
        <f>IF(I98&gt;0,SUM($C$41:I41)/60,0)</f>
        <v>0</v>
      </c>
      <c r="K60" s="14">
        <f>IF(J98&gt;0,SUM($C$41:J41)/60,0)</f>
        <v>0</v>
      </c>
      <c r="L60" s="14">
        <f>IF(K98&gt;0,SUM($C$41:K41)/60,0)</f>
        <v>0</v>
      </c>
      <c r="M60" s="14">
        <f>IF(L98&gt;0,SUM($C$41:L41)/60,0)</f>
        <v>0</v>
      </c>
      <c r="N60" s="14">
        <f>IF(M98&gt;0,SUM($C$41:M41)/60,0)</f>
        <v>0</v>
      </c>
      <c r="O60" s="14">
        <f>IF(N98&gt;0,SUM($C$41:N41)/60,0)</f>
        <v>0</v>
      </c>
      <c r="P60" s="14">
        <f>IF(O98&gt;0,SUM($C$41:O41)/60,0)</f>
        <v>0</v>
      </c>
      <c r="Q60" s="14">
        <f>IF(P98&gt;0,SUM($C$41:P41)/60,0)</f>
        <v>0</v>
      </c>
      <c r="R60" s="14">
        <f>IF(Q98&gt;0,SUM($C$41:Q41)/60,0)</f>
        <v>0</v>
      </c>
      <c r="S60" s="14">
        <f>IF(R98&gt;0,SUM($C$41:R41)/60,0)</f>
        <v>0</v>
      </c>
      <c r="T60" s="14">
        <f>IF(S98&gt;0,SUM($C$41:S41)/60,0)</f>
        <v>0</v>
      </c>
      <c r="U60" s="14">
        <f>IF(T98&gt;0,SUM($C$41:T41)/60,0)</f>
        <v>0</v>
      </c>
      <c r="V60" s="14">
        <f>IF(U98&gt;0,SUM($C$41:U41)/60,0)</f>
        <v>0</v>
      </c>
      <c r="W60" s="14">
        <f>IF(V98&gt;0,SUM($C$41:V41)/60,0)</f>
        <v>0</v>
      </c>
      <c r="X60" s="14">
        <f>IF(W98&gt;0,SUM($C$41:W41)/60,0)</f>
        <v>0</v>
      </c>
      <c r="Y60" s="14">
        <f>IF(X98&gt;0,SUM($C$41:X41)/60,0)</f>
        <v>0</v>
      </c>
      <c r="Z60" s="14">
        <f>IF(Y98&gt;0,SUM($C$41:Y41)/60,0)</f>
        <v>0</v>
      </c>
      <c r="AA60" s="14">
        <f>IF(Z98&gt;0,SUM($C$41:Z41)/60,0)</f>
        <v>0</v>
      </c>
      <c r="AB60" s="14">
        <f>IF(AA98&gt;0,SUM($C$41:AA41)/60,0)</f>
        <v>0</v>
      </c>
      <c r="AC60" s="14">
        <f>IF(AB98&gt;0,SUM($C$41:AB41)/60,0)</f>
        <v>0</v>
      </c>
      <c r="AD60" s="14">
        <f>IF(AC98&gt;0,SUM($C$41:AC41)/60,0)</f>
        <v>0</v>
      </c>
      <c r="AE60" s="14">
        <f>IF(AD98&gt;0,SUM($C$41:AD41)/60,0)</f>
        <v>0</v>
      </c>
      <c r="AF60" s="14">
        <f>IF(AE98&gt;0,SUM($C$41:AE41)/60,0)</f>
        <v>0</v>
      </c>
      <c r="AG60" s="14">
        <f>IF(AF98&gt;0,SUM($C$41:AF41)/60,0)</f>
        <v>0</v>
      </c>
      <c r="AH60" s="14">
        <f>IF(AG98&gt;0,SUM($C$41:AG41)/60,0)</f>
        <v>0</v>
      </c>
      <c r="AI60" s="14">
        <f>IF(AH98&gt;0,SUM($C$41:AH41)/60,0)</f>
        <v>0</v>
      </c>
      <c r="AJ60" s="14">
        <f>IF(AI98&gt;0,SUM($C$41:AI41)/60,0)</f>
        <v>0</v>
      </c>
      <c r="AK60" s="14">
        <f>IF(AJ98&gt;0,SUM($C$41:AJ41)/60,0)</f>
        <v>0</v>
      </c>
      <c r="AL60" s="14">
        <f>IF(AK98&gt;0,SUM($C$41:AK41)/60,0)</f>
        <v>0</v>
      </c>
      <c r="AM60" s="14">
        <f>IF(AL98&gt;0,SUM($C$41:AL41)/60,0)</f>
        <v>0</v>
      </c>
      <c r="AN60" s="14">
        <f>IF(AM98&gt;0,SUM($C$41:AM41)/60,0)</f>
        <v>0</v>
      </c>
      <c r="AO60" s="14">
        <f>IF(AN98&gt;0,SUM($C$41:AN41)/60,0)</f>
        <v>0</v>
      </c>
      <c r="AP60" s="14">
        <f>IF(AO98&gt;0,SUM($C$41:AO41)/60,0)</f>
        <v>0</v>
      </c>
      <c r="AQ60" s="14">
        <f>IF(AP98&gt;0,SUM($C$41:AP41)/60,0)</f>
        <v>0</v>
      </c>
      <c r="AR60" s="14">
        <f>IF(AQ98&gt;0,SUM($C$41:AQ41)/60,0)</f>
        <v>0</v>
      </c>
      <c r="AS60" s="14">
        <f>IF(AR98&gt;0,SUM($C$41:AR41)/60,0)</f>
        <v>0</v>
      </c>
      <c r="AT60" s="14">
        <f>IF(AS98&gt;0,SUM($C$41:AS41)/60,0)</f>
        <v>0</v>
      </c>
      <c r="AU60" s="14">
        <f>IF(AT98&gt;0,SUM($C$41:AT41)/60,0)</f>
        <v>0</v>
      </c>
      <c r="AV60" s="14">
        <f>IF(AU98&gt;0,SUM($C$41:AU41)/60,0)</f>
        <v>0</v>
      </c>
      <c r="AW60" s="14">
        <f>IF(AV98&gt;0,SUM($C$41:AV41)/60,0)</f>
        <v>0</v>
      </c>
      <c r="AX60" s="14">
        <f>IF(AW98&gt;0,SUM($C$41:AW41)/60,0)</f>
        <v>0</v>
      </c>
      <c r="AY60" s="14">
        <f>IF(AX98&gt;0,SUM($C$41:AX41)/60,0)</f>
        <v>0</v>
      </c>
      <c r="AZ60" s="14">
        <f>IF(AY98&gt;0,SUM($C$41:AY41)/60,0)</f>
        <v>0</v>
      </c>
      <c r="BA60" s="14">
        <f>IF(AZ98&gt;0,SUM($C$41:AZ41)/60,0)</f>
        <v>0</v>
      </c>
      <c r="BB60" s="14">
        <f>IF(BA98&gt;0,SUM($C$41:BA41)/60,0)</f>
        <v>0</v>
      </c>
      <c r="BC60" s="14">
        <f>IF(BB98&gt;0,SUM($C$41:BB41)/60,0)</f>
        <v>0</v>
      </c>
      <c r="BD60" s="14">
        <f>IF(BC98&gt;0,SUM($C$41:BC41)/60,0)</f>
        <v>0</v>
      </c>
      <c r="BE60" s="14">
        <f>IF(BD98&gt;0,SUM($C$41:BD41)/60,0)</f>
        <v>0</v>
      </c>
      <c r="BF60" s="14">
        <f>IF(BE98&gt;0,SUM($C$41:BE41)/60,0)</f>
        <v>0</v>
      </c>
      <c r="BG60" s="14">
        <f>IF(BF98&gt;0,SUM($C$41:BF41)/60,0)</f>
        <v>0</v>
      </c>
      <c r="BH60" s="14">
        <f>IF(BG98&gt;0,SUM($C$41:BG41)/60,0)</f>
        <v>0</v>
      </c>
      <c r="BI60" s="14">
        <f>IF(BH98&gt;0,SUM($C$41:BH41)/60,0)</f>
        <v>0</v>
      </c>
      <c r="BJ60" s="14">
        <f>IF(BI98&gt;0,SUM($C$41:BI41)/60,0)</f>
        <v>0</v>
      </c>
      <c r="BK60" s="14">
        <f>IF(BJ98&gt;0,SUM($C$41:BJ41)/60,0)</f>
        <v>0</v>
      </c>
      <c r="BL60" s="93">
        <f>IF(BK98&gt;0,SUM($C$41:BK41)/60,0)</f>
        <v>0</v>
      </c>
      <c r="BM60" s="93">
        <f>IF(BL98&gt;0,SUM($C$41:BL41)/60,0)</f>
        <v>0</v>
      </c>
      <c r="BN60" s="93" t="e">
        <f>IF(BM98&gt;0,SUM($C$41:BM41)/60,0)</f>
        <v>#DIV/0!</v>
      </c>
      <c r="BO60" s="93" t="e">
        <f>IF(BN98&gt;0,SUM($C$41:BN41)/60,0)</f>
        <v>#DIV/0!</v>
      </c>
      <c r="BP60" s="93" t="e">
        <f>IF(BO98&gt;0,SUM($C$41:BO41)/60,0)</f>
        <v>#DIV/0!</v>
      </c>
      <c r="BQ60" s="93" t="e">
        <f>IF(BP98&gt;0,SUM($C$41:BP41)/60,0)</f>
        <v>#DIV/0!</v>
      </c>
      <c r="BR60" s="93" t="e">
        <f>IF(BQ98&gt;0,SUM($C$41:BQ41)/60,0)</f>
        <v>#DIV/0!</v>
      </c>
      <c r="BS60" s="93" t="e">
        <f>IF(BR98&gt;0,SUM($C$41:BR41)/60,0)</f>
        <v>#DIV/0!</v>
      </c>
      <c r="BT60" s="93" t="e">
        <f>IF(BS98&gt;0,SUM($C$41:BS41)/60,0)</f>
        <v>#DIV/0!</v>
      </c>
      <c r="BU60" s="93" t="e">
        <f>IF(BT98&gt;0,SUM($C$41:BT41)/60,0)</f>
        <v>#DIV/0!</v>
      </c>
      <c r="BV60" s="93" t="e">
        <f>IF(BU98&gt;0,SUM($C$41:BU41)/60,0)</f>
        <v>#DIV/0!</v>
      </c>
      <c r="BW60" s="93" t="e">
        <f>IF(BV98&gt;0,SUM($C$41:BV41)/60,0)</f>
        <v>#DIV/0!</v>
      </c>
    </row>
    <row r="61" spans="1:75" hidden="1" x14ac:dyDescent="0.3">
      <c r="A61" s="104" t="str">
        <f t="shared" si="7"/>
        <v xml:space="preserve">Abonos a capital del crédito </v>
      </c>
      <c r="B61" s="105"/>
      <c r="C61" s="14"/>
      <c r="D61" s="14">
        <f>IF(C99&gt;0,SUM($C$42:C42)/60,0)</f>
        <v>0</v>
      </c>
      <c r="E61" s="14">
        <f>IF(D99&gt;0,SUM($C$42:D42)/60,0)</f>
        <v>0</v>
      </c>
      <c r="F61" s="14">
        <f>IF(E99&gt;0,SUM($C$42:E42)/60,0)</f>
        <v>0</v>
      </c>
      <c r="G61" s="14">
        <f>IF(F99&gt;0,SUM($C$42:F42)/60,0)</f>
        <v>0</v>
      </c>
      <c r="H61" s="14">
        <f>IF(G99&gt;0,SUM($C$42:G42)/60,0)</f>
        <v>0</v>
      </c>
      <c r="I61" s="14">
        <f>IF(H99&gt;0,SUM($C$42:H42)/60,0)</f>
        <v>0</v>
      </c>
      <c r="J61" s="14">
        <f>IF(I99&gt;0,SUM($C$42:I42)/60,0)</f>
        <v>0</v>
      </c>
      <c r="K61" s="14">
        <f>IF(J99&gt;0,SUM($C$42:J42)/60,0)</f>
        <v>0</v>
      </c>
      <c r="L61" s="14">
        <f>IF(K99&gt;0,SUM($C$42:K42)/60,0)</f>
        <v>0</v>
      </c>
      <c r="M61" s="14">
        <f>IF(L99&gt;0,SUM($C$42:L42)/60,0)</f>
        <v>0</v>
      </c>
      <c r="N61" s="14">
        <f>IF(M99&gt;0,SUM($C$42:M42)/60,0)</f>
        <v>0</v>
      </c>
      <c r="O61" s="14">
        <f>IF(N99&gt;0,SUM($C$42:N42)/60,0)</f>
        <v>0</v>
      </c>
      <c r="P61" s="14">
        <f>IF(O99&gt;0,SUM($C$42:O42)/60,0)</f>
        <v>0</v>
      </c>
      <c r="Q61" s="14">
        <f>IF(P99&gt;0,SUM($C$42:P42)/60,0)</f>
        <v>0</v>
      </c>
      <c r="R61" s="14">
        <f>IF(Q99&gt;0,SUM($C$42:Q42)/60,0)</f>
        <v>0</v>
      </c>
      <c r="S61" s="14">
        <f>IF(R99&gt;0,SUM($C$42:R42)/60,0)</f>
        <v>0</v>
      </c>
      <c r="T61" s="14">
        <f>IF(S99&gt;0,SUM($C$42:S42)/60,0)</f>
        <v>0</v>
      </c>
      <c r="U61" s="14">
        <f>IF(T99&gt;0,SUM($C$42:T42)/60,0)</f>
        <v>0</v>
      </c>
      <c r="V61" s="14">
        <f>IF(U99&gt;0,SUM($C$42:U42)/60,0)</f>
        <v>0</v>
      </c>
      <c r="W61" s="14">
        <f>IF(V99&gt;0,SUM($C$42:V42)/60,0)</f>
        <v>0</v>
      </c>
      <c r="X61" s="14">
        <f>IF(W99&gt;0,SUM($C$42:W42)/60,0)</f>
        <v>0</v>
      </c>
      <c r="Y61" s="14">
        <f>IF(X99&gt;0,SUM($C$42:X42)/60,0)</f>
        <v>0</v>
      </c>
      <c r="Z61" s="14">
        <f>IF(Y99&gt;0,SUM($C$42:Y42)/60,0)</f>
        <v>0</v>
      </c>
      <c r="AA61" s="14">
        <f>IF(Z99&gt;0,SUM($C$42:Z42)/60,0)</f>
        <v>0</v>
      </c>
      <c r="AB61" s="14">
        <f>IF(AA99&gt;0,SUM($C$42:AA42)/60,0)</f>
        <v>0</v>
      </c>
      <c r="AC61" s="14">
        <f>IF(AB99&gt;0,SUM($C$42:AB42)/60,0)</f>
        <v>0</v>
      </c>
      <c r="AD61" s="14">
        <f>IF(AC99&gt;0,SUM($C$42:AC42)/60,0)</f>
        <v>0</v>
      </c>
      <c r="AE61" s="14">
        <f>IF(AD99&gt;0,SUM($C$42:AD42)/60,0)</f>
        <v>0</v>
      </c>
      <c r="AF61" s="14">
        <f>IF(AE99&gt;0,SUM($C$42:AE42)/60,0)</f>
        <v>0</v>
      </c>
      <c r="AG61" s="14">
        <f>IF(AF99&gt;0,SUM($C$42:AF42)/60,0)</f>
        <v>0</v>
      </c>
      <c r="AH61" s="14">
        <f>IF(AG99&gt;0,SUM($C$42:AG42)/60,0)</f>
        <v>0</v>
      </c>
      <c r="AI61" s="14">
        <f>IF(AH99&gt;0,SUM($C$42:AH42)/60,0)</f>
        <v>0</v>
      </c>
      <c r="AJ61" s="14">
        <f>IF(AI99&gt;0,SUM($C$42:AI42)/60,0)</f>
        <v>0</v>
      </c>
      <c r="AK61" s="14">
        <f>IF(AJ99&gt;0,SUM($C$42:AJ42)/60,0)</f>
        <v>0</v>
      </c>
      <c r="AL61" s="14">
        <f>IF(AK99&gt;0,SUM($C$42:AK42)/60,0)</f>
        <v>0</v>
      </c>
      <c r="AM61" s="14">
        <f>IF(AL99&gt;0,SUM($C$42:AL42)/60,0)</f>
        <v>0</v>
      </c>
      <c r="AN61" s="14">
        <f>IF(AM99&gt;0,SUM($C$42:AM42)/60,0)</f>
        <v>0</v>
      </c>
      <c r="AO61" s="14">
        <f>IF(AN99&gt;0,SUM($C$42:AN42)/60,0)</f>
        <v>0</v>
      </c>
      <c r="AP61" s="14">
        <f>IF(AO99&gt;0,SUM($C$42:AO42)/60,0)</f>
        <v>0</v>
      </c>
      <c r="AQ61" s="14">
        <f>IF(AP99&gt;0,SUM($C$42:AP42)/60,0)</f>
        <v>0</v>
      </c>
      <c r="AR61" s="14">
        <f>IF(AQ99&gt;0,SUM($C$42:AQ42)/60,0)</f>
        <v>0</v>
      </c>
      <c r="AS61" s="14">
        <f>IF(AR99&gt;0,SUM($C$42:AR42)/60,0)</f>
        <v>0</v>
      </c>
      <c r="AT61" s="14">
        <f>IF(AS99&gt;0,SUM($C$42:AS42)/60,0)</f>
        <v>0</v>
      </c>
      <c r="AU61" s="14">
        <f>IF(AT99&gt;0,SUM($C$42:AT42)/60,0)</f>
        <v>0</v>
      </c>
      <c r="AV61" s="14">
        <f>IF(AU99&gt;0,SUM($C$42:AU42)/60,0)</f>
        <v>0</v>
      </c>
      <c r="AW61" s="14">
        <f>IF(AV99&gt;0,SUM($C$42:AV42)/60,0)</f>
        <v>0</v>
      </c>
      <c r="AX61" s="14">
        <f>IF(AW99&gt;0,SUM($C$42:AW42)/60,0)</f>
        <v>0</v>
      </c>
      <c r="AY61" s="14">
        <f>IF(AX99&gt;0,SUM($C$42:AX42)/60,0)</f>
        <v>0</v>
      </c>
      <c r="AZ61" s="14">
        <f>IF(AY99&gt;0,SUM($C$42:AY42)/60,0)</f>
        <v>0</v>
      </c>
      <c r="BA61" s="14">
        <f>IF(AZ99&gt;0,SUM($C$42:AZ42)/60,0)</f>
        <v>0</v>
      </c>
      <c r="BB61" s="14">
        <f>IF(BA99&gt;0,SUM($C$42:BA42)/60,0)</f>
        <v>0</v>
      </c>
      <c r="BC61" s="14">
        <f>IF(BB99&gt;0,SUM($C$42:BB42)/60,0)</f>
        <v>0</v>
      </c>
      <c r="BD61" s="14">
        <f>IF(BC99&gt;0,SUM($C$42:BC42)/60,0)</f>
        <v>0</v>
      </c>
      <c r="BE61" s="14">
        <f>IF(BD99&gt;0,SUM($C$42:BD42)/60,0)</f>
        <v>0</v>
      </c>
      <c r="BF61" s="14">
        <f>IF(BE99&gt;0,SUM($C$42:BE42)/60,0)</f>
        <v>0</v>
      </c>
      <c r="BG61" s="14">
        <f>IF(BF99&gt;0,SUM($C$42:BF42)/60,0)</f>
        <v>0</v>
      </c>
      <c r="BH61" s="14">
        <f>IF(BG99&gt;0,SUM($C$42:BG42)/60,0)</f>
        <v>0</v>
      </c>
      <c r="BI61" s="14">
        <f>IF(BH99&gt;0,SUM($C$42:BH42)/60,0)</f>
        <v>0</v>
      </c>
      <c r="BJ61" s="14">
        <f>IF(BI99&gt;0,SUM($C$42:BI42)/60,0)</f>
        <v>0</v>
      </c>
      <c r="BK61" s="14">
        <f>IF(BJ99&gt;0,SUM($C$42:BJ42)/60,0)</f>
        <v>0</v>
      </c>
      <c r="BL61" s="93">
        <f>IF(BK99&gt;0,SUM($C$42:BK42)/60,0)</f>
        <v>0</v>
      </c>
      <c r="BM61" s="93">
        <f>IF(BL99&gt;0,SUM($C$42:BL42)/60,0)</f>
        <v>0</v>
      </c>
      <c r="BN61" s="93" t="e">
        <f>IF(BM99&gt;0,SUM($C$42:BM42)/60,0)</f>
        <v>#DIV/0!</v>
      </c>
      <c r="BO61" s="93" t="e">
        <f>IF(BN99&gt;0,SUM($C$42:BN42)/60,0)</f>
        <v>#DIV/0!</v>
      </c>
      <c r="BP61" s="93" t="e">
        <f>IF(BO99&gt;0,SUM($C$42:BO42)/60,0)</f>
        <v>#DIV/0!</v>
      </c>
      <c r="BQ61" s="93" t="e">
        <f>IF(BP99&gt;0,SUM($C$42:BP42)/60,0)</f>
        <v>#DIV/0!</v>
      </c>
      <c r="BR61" s="93" t="e">
        <f>IF(BQ99&gt;0,SUM($C$42:BQ42)/60,0)</f>
        <v>#DIV/0!</v>
      </c>
      <c r="BS61" s="93" t="e">
        <f>IF(BR99&gt;0,SUM($C$42:BR42)/60,0)</f>
        <v>#DIV/0!</v>
      </c>
      <c r="BT61" s="93" t="e">
        <f>IF(BS99&gt;0,SUM($C$42:BS42)/60,0)</f>
        <v>#DIV/0!</v>
      </c>
      <c r="BU61" s="93" t="e">
        <f>IF(BT99&gt;0,SUM($C$42:BT42)/60,0)</f>
        <v>#DIV/0!</v>
      </c>
      <c r="BV61" s="93" t="e">
        <f>IF(BU99&gt;0,SUM($C$42:BU42)/60,0)</f>
        <v>#DIV/0!</v>
      </c>
      <c r="BW61" s="93" t="e">
        <f>IF(BV99&gt;0,SUM($C$42:BV42)/60,0)</f>
        <v>#DIV/0!</v>
      </c>
    </row>
    <row r="62" spans="1:75" hidden="1" x14ac:dyDescent="0.3">
      <c r="A62" s="104" t="str">
        <f t="shared" si="7"/>
        <v xml:space="preserve">Abonos a capital del crédito </v>
      </c>
      <c r="B62" s="105"/>
      <c r="C62" s="14"/>
      <c r="D62" s="14">
        <f>IF(C100&gt;0,SUM($C$43:C43)/60,0)</f>
        <v>0</v>
      </c>
      <c r="E62" s="14">
        <f>IF(D100&gt;0,SUM($C$43:D43)/60,0)</f>
        <v>0</v>
      </c>
      <c r="F62" s="14">
        <f>IF(E100&gt;0,SUM($C$43:E43)/60,0)</f>
        <v>0</v>
      </c>
      <c r="G62" s="14">
        <f>IF(F100&gt;0,SUM($C$43:F43)/60,0)</f>
        <v>0</v>
      </c>
      <c r="H62" s="14">
        <f>IF(G100&gt;0,SUM($C$43:G43)/60,0)</f>
        <v>0</v>
      </c>
      <c r="I62" s="14">
        <f>IF(H100&gt;0,SUM($C$43:H43)/60,0)</f>
        <v>0</v>
      </c>
      <c r="J62" s="14">
        <f>IF(I100&gt;0,SUM($C$43:I43)/60,0)</f>
        <v>0</v>
      </c>
      <c r="K62" s="14">
        <f>IF(J100&gt;0,SUM($C$43:J43)/60,0)</f>
        <v>0</v>
      </c>
      <c r="L62" s="14">
        <f>IF(K100&gt;0,SUM($C$43:K43)/60,0)</f>
        <v>0</v>
      </c>
      <c r="M62" s="14">
        <f>IF(L100&gt;0,SUM($C$43:L43)/60,0)</f>
        <v>0</v>
      </c>
      <c r="N62" s="14">
        <f>IF(M100&gt;0,SUM($C$43:M43)/60,0)</f>
        <v>0</v>
      </c>
      <c r="O62" s="14">
        <f>IF(N100&gt;0,SUM($C$43:N43)/60,0)</f>
        <v>0</v>
      </c>
      <c r="P62" s="14">
        <f>IF(O100&gt;0,SUM($C$43:O43)/60,0)</f>
        <v>0</v>
      </c>
      <c r="Q62" s="14">
        <f>IF(P100&gt;0,SUM($C$43:P43)/60,0)</f>
        <v>0</v>
      </c>
      <c r="R62" s="14">
        <f>IF(Q100&gt;0,SUM($C$43:Q43)/60,0)</f>
        <v>0</v>
      </c>
      <c r="S62" s="14">
        <f>IF(R100&gt;0,SUM($C$43:R43)/60,0)</f>
        <v>0</v>
      </c>
      <c r="T62" s="14">
        <f>IF(S100&gt;0,SUM($C$43:S43)/60,0)</f>
        <v>0</v>
      </c>
      <c r="U62" s="14">
        <f>IF(T100&gt;0,SUM($C$43:T43)/60,0)</f>
        <v>0</v>
      </c>
      <c r="V62" s="14">
        <f>IF(U100&gt;0,SUM($C$43:U43)/60,0)</f>
        <v>0</v>
      </c>
      <c r="W62" s="14">
        <f>IF(V100&gt;0,SUM($C$43:V43)/60,0)</f>
        <v>0</v>
      </c>
      <c r="X62" s="14">
        <f>IF(W100&gt;0,SUM($C$43:W43)/60,0)</f>
        <v>0</v>
      </c>
      <c r="Y62" s="14">
        <f>IF(X100&gt;0,SUM($C$43:X43)/60,0)</f>
        <v>0</v>
      </c>
      <c r="Z62" s="14">
        <f>IF(Y100&gt;0,SUM($C$43:Y43)/60,0)</f>
        <v>0</v>
      </c>
      <c r="AA62" s="14">
        <f>IF(Z100&gt;0,SUM($C$43:Z43)/60,0)</f>
        <v>0</v>
      </c>
      <c r="AB62" s="14">
        <f>IF(AA100&gt;0,SUM($C$43:AA43)/60,0)</f>
        <v>0</v>
      </c>
      <c r="AC62" s="14">
        <f>IF(AB100&gt;0,SUM($C$43:AB43)/60,0)</f>
        <v>0</v>
      </c>
      <c r="AD62" s="14">
        <f>IF(AC100&gt;0,SUM($C$43:AC43)/60,0)</f>
        <v>0</v>
      </c>
      <c r="AE62" s="14">
        <f>IF(AD100&gt;0,SUM($C$43:AD43)/60,0)</f>
        <v>0</v>
      </c>
      <c r="AF62" s="14">
        <f>IF(AE100&gt;0,SUM($C$43:AE43)/60,0)</f>
        <v>0</v>
      </c>
      <c r="AG62" s="14">
        <f>IF(AF100&gt;0,SUM($C$43:AF43)/60,0)</f>
        <v>0</v>
      </c>
      <c r="AH62" s="14">
        <f>IF(AG100&gt;0,SUM($C$43:AG43)/60,0)</f>
        <v>0</v>
      </c>
      <c r="AI62" s="14">
        <f>IF(AH100&gt;0,SUM($C$43:AH43)/60,0)</f>
        <v>0</v>
      </c>
      <c r="AJ62" s="14">
        <f>IF(AI100&gt;0,SUM($C$43:AI43)/60,0)</f>
        <v>0</v>
      </c>
      <c r="AK62" s="14">
        <f>IF(AJ100&gt;0,SUM($C$43:AJ43)/60,0)</f>
        <v>0</v>
      </c>
      <c r="AL62" s="14">
        <f>IF(AK100&gt;0,SUM($C$43:AK43)/60,0)</f>
        <v>0</v>
      </c>
      <c r="AM62" s="14">
        <f>IF(AL100&gt;0,SUM($C$43:AL43)/60,0)</f>
        <v>0</v>
      </c>
      <c r="AN62" s="14">
        <f>IF(AM100&gt;0,SUM($C$43:AM43)/60,0)</f>
        <v>0</v>
      </c>
      <c r="AO62" s="14">
        <f>IF(AN100&gt;0,SUM($C$43:AN43)/60,0)</f>
        <v>0</v>
      </c>
      <c r="AP62" s="14">
        <f>IF(AO100&gt;0,SUM($C$43:AO43)/60,0)</f>
        <v>0</v>
      </c>
      <c r="AQ62" s="14">
        <f>IF(AP100&gt;0,SUM($C$43:AP43)/60,0)</f>
        <v>0</v>
      </c>
      <c r="AR62" s="14">
        <f>IF(AQ100&gt;0,SUM($C$43:AQ43)/60,0)</f>
        <v>0</v>
      </c>
      <c r="AS62" s="14">
        <f>IF(AR100&gt;0,SUM($C$43:AR43)/60,0)</f>
        <v>0</v>
      </c>
      <c r="AT62" s="14">
        <f>IF(AS100&gt;0,SUM($C$43:AS43)/60,0)</f>
        <v>0</v>
      </c>
      <c r="AU62" s="14">
        <f>IF(AT100&gt;0,SUM($C$43:AT43)/60,0)</f>
        <v>0</v>
      </c>
      <c r="AV62" s="14">
        <f>IF(AU100&gt;0,SUM($C$43:AU43)/60,0)</f>
        <v>0</v>
      </c>
      <c r="AW62" s="14">
        <f>IF(AV100&gt;0,SUM($C$43:AV43)/60,0)</f>
        <v>0</v>
      </c>
      <c r="AX62" s="14">
        <f>IF(AW100&gt;0,SUM($C$43:AW43)/60,0)</f>
        <v>0</v>
      </c>
      <c r="AY62" s="14">
        <f>IF(AX100&gt;0,SUM($C$43:AX43)/60,0)</f>
        <v>0</v>
      </c>
      <c r="AZ62" s="14">
        <f>IF(AY100&gt;0,SUM($C$43:AY43)/60,0)</f>
        <v>0</v>
      </c>
      <c r="BA62" s="14">
        <f>IF(AZ100&gt;0,SUM($C$43:AZ43)/60,0)</f>
        <v>0</v>
      </c>
      <c r="BB62" s="14">
        <f>IF(BA100&gt;0,SUM($C$43:BA43)/60,0)</f>
        <v>0</v>
      </c>
      <c r="BC62" s="14">
        <f>IF(BB100&gt;0,SUM($C$43:BB43)/60,0)</f>
        <v>0</v>
      </c>
      <c r="BD62" s="14">
        <f>IF(BC100&gt;0,SUM($C$43:BC43)/60,0)</f>
        <v>0</v>
      </c>
      <c r="BE62" s="14">
        <f>IF(BD100&gt;0,SUM($C$43:BD43)/60,0)</f>
        <v>0</v>
      </c>
      <c r="BF62" s="14">
        <f>IF(BE100&gt;0,SUM($C$43:BE43)/60,0)</f>
        <v>0</v>
      </c>
      <c r="BG62" s="14">
        <f>IF(BF100&gt;0,SUM($C$43:BF43)/60,0)</f>
        <v>0</v>
      </c>
      <c r="BH62" s="14">
        <f>IF(BG100&gt;0,SUM($C$43:BG43)/60,0)</f>
        <v>0</v>
      </c>
      <c r="BI62" s="14">
        <f>IF(BH100&gt;0,SUM($C$43:BH43)/60,0)</f>
        <v>0</v>
      </c>
      <c r="BJ62" s="14">
        <f>IF(BI100&gt;0,SUM($C$43:BI43)/60,0)</f>
        <v>0</v>
      </c>
      <c r="BK62" s="14">
        <f>IF(BJ100&gt;0,SUM($C$43:BJ43)/60,0)</f>
        <v>0</v>
      </c>
      <c r="BL62" s="93">
        <f>IF(BK100&gt;0,SUM($C$43:BK43)/60,0)</f>
        <v>0</v>
      </c>
      <c r="BM62" s="93">
        <f>IF(BL100&gt;0,SUM($C$43:BL43)/60,0)</f>
        <v>0</v>
      </c>
      <c r="BN62" s="93" t="e">
        <f>IF(BM100&gt;0,SUM($C$43:BM43)/60,0)</f>
        <v>#DIV/0!</v>
      </c>
      <c r="BO62" s="93" t="e">
        <f>IF(BN100&gt;0,SUM($C$43:BN43)/60,0)</f>
        <v>#DIV/0!</v>
      </c>
      <c r="BP62" s="93" t="e">
        <f>IF(BO100&gt;0,SUM($C$43:BO43)/60,0)</f>
        <v>#DIV/0!</v>
      </c>
      <c r="BQ62" s="93" t="e">
        <f>IF(BP100&gt;0,SUM($C$43:BP43)/60,0)</f>
        <v>#DIV/0!</v>
      </c>
      <c r="BR62" s="93" t="e">
        <f>IF(BQ100&gt;0,SUM($C$43:BQ43)/60,0)</f>
        <v>#DIV/0!</v>
      </c>
      <c r="BS62" s="93" t="e">
        <f>IF(BR100&gt;0,SUM($C$43:BR43)/60,0)</f>
        <v>#DIV/0!</v>
      </c>
      <c r="BT62" s="93" t="e">
        <f>IF(BS100&gt;0,SUM($C$43:BS43)/60,0)</f>
        <v>#DIV/0!</v>
      </c>
      <c r="BU62" s="93" t="e">
        <f>IF(BT100&gt;0,SUM($C$43:BT43)/60,0)</f>
        <v>#DIV/0!</v>
      </c>
      <c r="BV62" s="93" t="e">
        <f>IF(BU100&gt;0,SUM($C$43:BU43)/60,0)</f>
        <v>#DIV/0!</v>
      </c>
      <c r="BW62" s="93" t="e">
        <f>IF(BV100&gt;0,SUM($C$43:BV43)/60,0)</f>
        <v>#DIV/0!</v>
      </c>
    </row>
    <row r="63" spans="1:75" hidden="1" x14ac:dyDescent="0.3">
      <c r="A63" s="104" t="str">
        <f t="shared" si="7"/>
        <v xml:space="preserve">Abonos a capital del crédito </v>
      </c>
      <c r="B63" s="105"/>
      <c r="C63" s="14"/>
      <c r="D63" s="14">
        <f>IF(C101&gt;0,SUM($C$44:C44)/60,0)</f>
        <v>0</v>
      </c>
      <c r="E63" s="14">
        <f>IF(D101&gt;0,SUM($C$44:D44)/60,0)</f>
        <v>0</v>
      </c>
      <c r="F63" s="14">
        <f>IF(E101&gt;0,SUM($C$44:E44)/60,0)</f>
        <v>0</v>
      </c>
      <c r="G63" s="14">
        <f>IF(F101&gt;0,SUM($C$44:F44)/60,0)</f>
        <v>0</v>
      </c>
      <c r="H63" s="14">
        <f>IF(G101&gt;0,SUM($C$44:G44)/60,0)</f>
        <v>0</v>
      </c>
      <c r="I63" s="14">
        <f>IF(H101&gt;0,SUM($C$44:H44)/60,0)</f>
        <v>0</v>
      </c>
      <c r="J63" s="14">
        <f>IF(I101&gt;0,SUM($C$44:I44)/60,0)</f>
        <v>0</v>
      </c>
      <c r="K63" s="14">
        <f>IF(J101&gt;0,SUM($C$44:J44)/60,0)</f>
        <v>0</v>
      </c>
      <c r="L63" s="14">
        <f>IF(K101&gt;0,SUM($C$44:K44)/60,0)</f>
        <v>0</v>
      </c>
      <c r="M63" s="14">
        <f>IF(L101&gt;0,SUM($C$44:L44)/60,0)</f>
        <v>0</v>
      </c>
      <c r="N63" s="14">
        <f>IF(M101&gt;0,SUM($C$44:M44)/60,0)</f>
        <v>0</v>
      </c>
      <c r="O63" s="14">
        <f>IF(N101&gt;0,SUM($C$44:N44)/60,0)</f>
        <v>0</v>
      </c>
      <c r="P63" s="14">
        <f>IF(O101&gt;0,SUM($C$44:O44)/60,0)</f>
        <v>0</v>
      </c>
      <c r="Q63" s="14">
        <f>IF(P101&gt;0,SUM($C$44:P44)/60,0)</f>
        <v>0</v>
      </c>
      <c r="R63" s="14">
        <f>IF(Q101&gt;0,SUM($C$44:Q44)/60,0)</f>
        <v>0</v>
      </c>
      <c r="S63" s="14">
        <f>IF(R101&gt;0,SUM($C$44:R44)/60,0)</f>
        <v>0</v>
      </c>
      <c r="T63" s="14">
        <f>IF(S101&gt;0,SUM($C$44:S44)/60,0)</f>
        <v>0</v>
      </c>
      <c r="U63" s="14">
        <f>IF(T101&gt;0,SUM($C$44:T44)/60,0)</f>
        <v>0</v>
      </c>
      <c r="V63" s="14">
        <f>IF(U101&gt;0,SUM($C$44:U44)/60,0)</f>
        <v>0</v>
      </c>
      <c r="W63" s="14">
        <f>IF(V101&gt;0,SUM($C$44:V44)/60,0)</f>
        <v>0</v>
      </c>
      <c r="X63" s="14">
        <f>IF(W101&gt;0,SUM($C$44:W44)/60,0)</f>
        <v>0</v>
      </c>
      <c r="Y63" s="14">
        <f>IF(X101&gt;0,SUM($C$44:X44)/60,0)</f>
        <v>0</v>
      </c>
      <c r="Z63" s="14">
        <f>IF(Y101&gt;0,SUM($C$44:Y44)/60,0)</f>
        <v>0</v>
      </c>
      <c r="AA63" s="14">
        <f>IF(Z101&gt;0,SUM($C$44:Z44)/60,0)</f>
        <v>0</v>
      </c>
      <c r="AB63" s="14">
        <f>IF(AA101&gt;0,SUM($C$44:AA44)/60,0)</f>
        <v>0</v>
      </c>
      <c r="AC63" s="14">
        <f>IF(AB101&gt;0,SUM($C$44:AB44)/60,0)</f>
        <v>0</v>
      </c>
      <c r="AD63" s="14">
        <f>IF(AC101&gt;0,SUM($C$44:AC44)/60,0)</f>
        <v>0</v>
      </c>
      <c r="AE63" s="14">
        <f>IF(AD101&gt;0,SUM($C$44:AD44)/60,0)</f>
        <v>0</v>
      </c>
      <c r="AF63" s="14">
        <f>IF(AE101&gt;0,SUM($C$44:AE44)/60,0)</f>
        <v>0</v>
      </c>
      <c r="AG63" s="14">
        <f>IF(AF101&gt;0,SUM($C$44:AF44)/60,0)</f>
        <v>0</v>
      </c>
      <c r="AH63" s="14">
        <f>IF(AG101&gt;0,SUM($C$44:AG44)/60,0)</f>
        <v>0</v>
      </c>
      <c r="AI63" s="14">
        <f>IF(AH101&gt;0,SUM($C$44:AH44)/60,0)</f>
        <v>0</v>
      </c>
      <c r="AJ63" s="14">
        <f>IF(AI101&gt;0,SUM($C$44:AI44)/60,0)</f>
        <v>0</v>
      </c>
      <c r="AK63" s="14">
        <f>IF(AJ101&gt;0,SUM($C$44:AJ44)/60,0)</f>
        <v>0</v>
      </c>
      <c r="AL63" s="14">
        <f>IF(AK101&gt;0,SUM($C$44:AK44)/60,0)</f>
        <v>0</v>
      </c>
      <c r="AM63" s="14">
        <f>IF(AL101&gt;0,SUM($C$44:AL44)/60,0)</f>
        <v>0</v>
      </c>
      <c r="AN63" s="14">
        <f>IF(AM101&gt;0,SUM($C$44:AM44)/60,0)</f>
        <v>0</v>
      </c>
      <c r="AO63" s="14">
        <f>IF(AN101&gt;0,SUM($C$44:AN44)/60,0)</f>
        <v>0</v>
      </c>
      <c r="AP63" s="14">
        <f>IF(AO101&gt;0,SUM($C$44:AO44)/60,0)</f>
        <v>0</v>
      </c>
      <c r="AQ63" s="14">
        <f>IF(AP101&gt;0,SUM($C$44:AP44)/60,0)</f>
        <v>0</v>
      </c>
      <c r="AR63" s="14">
        <f>IF(AQ101&gt;0,SUM($C$44:AQ44)/60,0)</f>
        <v>0</v>
      </c>
      <c r="AS63" s="14">
        <f>IF(AR101&gt;0,SUM($C$44:AR44)/60,0)</f>
        <v>0</v>
      </c>
      <c r="AT63" s="14">
        <f>IF(AS101&gt;0,SUM($C$44:AS44)/60,0)</f>
        <v>0</v>
      </c>
      <c r="AU63" s="14">
        <f>IF(AT101&gt;0,SUM($C$44:AT44)/60,0)</f>
        <v>0</v>
      </c>
      <c r="AV63" s="14">
        <f>IF(AU101&gt;0,SUM($C$44:AU44)/60,0)</f>
        <v>0</v>
      </c>
      <c r="AW63" s="14">
        <f>IF(AV101&gt;0,SUM($C$44:AV44)/60,0)</f>
        <v>0</v>
      </c>
      <c r="AX63" s="14">
        <f>IF(AW101&gt;0,SUM($C$44:AW44)/60,0)</f>
        <v>0</v>
      </c>
      <c r="AY63" s="14">
        <f>IF(AX101&gt;0,SUM($C$44:AX44)/60,0)</f>
        <v>0</v>
      </c>
      <c r="AZ63" s="14">
        <f>IF(AY101&gt;0,SUM($C$44:AY44)/60,0)</f>
        <v>0</v>
      </c>
      <c r="BA63" s="14">
        <f>IF(AZ101&gt;0,SUM($C$44:AZ44)/60,0)</f>
        <v>0</v>
      </c>
      <c r="BB63" s="14">
        <f>IF(BA101&gt;0,SUM($C$44:BA44)/60,0)</f>
        <v>0</v>
      </c>
      <c r="BC63" s="14">
        <f>IF(BB101&gt;0,SUM($C$44:BB44)/60,0)</f>
        <v>0</v>
      </c>
      <c r="BD63" s="14">
        <f>IF(BC101&gt;0,SUM($C$44:BC44)/60,0)</f>
        <v>0</v>
      </c>
      <c r="BE63" s="14">
        <f>IF(BD101&gt;0,SUM($C$44:BD44)/60,0)</f>
        <v>0</v>
      </c>
      <c r="BF63" s="14">
        <f>IF(BE101&gt;0,SUM($C$44:BE44)/60,0)</f>
        <v>0</v>
      </c>
      <c r="BG63" s="14">
        <f>IF(BF101&gt;0,SUM($C$44:BF44)/60,0)</f>
        <v>0</v>
      </c>
      <c r="BH63" s="14">
        <f>IF(BG101&gt;0,SUM($C$44:BG44)/60,0)</f>
        <v>0</v>
      </c>
      <c r="BI63" s="14">
        <f>IF(BH101&gt;0,SUM($C$44:BH44)/60,0)</f>
        <v>0</v>
      </c>
      <c r="BJ63" s="14">
        <f>IF(BI101&gt;0,SUM($C$44:BI44)/60,0)</f>
        <v>0</v>
      </c>
      <c r="BK63" s="14">
        <f>IF(BJ101&gt;0,SUM($C$44:BJ44)/60,0)</f>
        <v>0</v>
      </c>
      <c r="BL63" s="93">
        <f>IF(BK101&gt;0,SUM($C$44:BK44)/60,0)</f>
        <v>0</v>
      </c>
      <c r="BM63" s="93">
        <f>IF(BL101&gt;0,SUM($C$44:BL44)/60,0)</f>
        <v>0</v>
      </c>
      <c r="BN63" s="93" t="e">
        <f>IF(BM101&gt;0,SUM($C$44:BM44)/60,0)</f>
        <v>#DIV/0!</v>
      </c>
      <c r="BO63" s="93" t="e">
        <f>IF(BN101&gt;0,SUM($C$44:BN44)/60,0)</f>
        <v>#DIV/0!</v>
      </c>
      <c r="BP63" s="93" t="e">
        <f>IF(BO101&gt;0,SUM($C$44:BO44)/60,0)</f>
        <v>#DIV/0!</v>
      </c>
      <c r="BQ63" s="93" t="e">
        <f>IF(BP101&gt;0,SUM($C$44:BP44)/60,0)</f>
        <v>#DIV/0!</v>
      </c>
      <c r="BR63" s="93" t="e">
        <f>IF(BQ101&gt;0,SUM($C$44:BQ44)/60,0)</f>
        <v>#DIV/0!</v>
      </c>
      <c r="BS63" s="93" t="e">
        <f>IF(BR101&gt;0,SUM($C$44:BR44)/60,0)</f>
        <v>#DIV/0!</v>
      </c>
      <c r="BT63" s="93" t="e">
        <f>IF(BS101&gt;0,SUM($C$44:BS44)/60,0)</f>
        <v>#DIV/0!</v>
      </c>
      <c r="BU63" s="93" t="e">
        <f>IF(BT101&gt;0,SUM($C$44:BT44)/60,0)</f>
        <v>#DIV/0!</v>
      </c>
      <c r="BV63" s="93" t="e">
        <f>IF(BU101&gt;0,SUM($C$44:BU44)/60,0)</f>
        <v>#DIV/0!</v>
      </c>
      <c r="BW63" s="93" t="e">
        <f>IF(BV101&gt;0,SUM($C$44:BV44)/60,0)</f>
        <v>#DIV/0!</v>
      </c>
    </row>
    <row r="64" spans="1:75" hidden="1" x14ac:dyDescent="0.3">
      <c r="A64" s="104" t="str">
        <f t="shared" si="7"/>
        <v xml:space="preserve">Abonos a capital del crédito </v>
      </c>
      <c r="B64" s="105"/>
      <c r="C64" s="14"/>
      <c r="D64" s="14">
        <f>IF(C102&gt;0,SUM($C$45:C45)/60,0)</f>
        <v>0</v>
      </c>
      <c r="E64" s="14">
        <f>IF(D102&gt;0,SUM($C$45:D45)/60,0)</f>
        <v>0</v>
      </c>
      <c r="F64" s="14">
        <f>IF(E102&gt;0,SUM($C$45:E45)/60,0)</f>
        <v>0</v>
      </c>
      <c r="G64" s="14">
        <f>IF(F102&gt;0,SUM($C$45:F45)/60,0)</f>
        <v>0</v>
      </c>
      <c r="H64" s="14">
        <f>IF(G102&gt;0,SUM($C$45:G45)/60,0)</f>
        <v>0</v>
      </c>
      <c r="I64" s="14">
        <f>IF(H102&gt;0,SUM($C$45:H45)/60,0)</f>
        <v>0</v>
      </c>
      <c r="J64" s="14">
        <f>IF(I102&gt;0,SUM($C$45:I45)/60,0)</f>
        <v>0</v>
      </c>
      <c r="K64" s="14">
        <f>IF(J102&gt;0,SUM($C$45:J45)/60,0)</f>
        <v>0</v>
      </c>
      <c r="L64" s="14">
        <f>IF(K102&gt;0,SUM($C$45:K45)/60,0)</f>
        <v>0</v>
      </c>
      <c r="M64" s="14">
        <f>IF(L102&gt;0,SUM($C$45:L45)/60,0)</f>
        <v>0</v>
      </c>
      <c r="N64" s="14">
        <f>IF(M102&gt;0,SUM($C$45:M45)/60,0)</f>
        <v>0</v>
      </c>
      <c r="O64" s="14">
        <f>IF(N102&gt;0,SUM($C$45:N45)/60,0)</f>
        <v>0</v>
      </c>
      <c r="P64" s="14">
        <f>IF(O102&gt;0,SUM($C$45:O45)/60,0)</f>
        <v>0</v>
      </c>
      <c r="Q64" s="14">
        <f>IF(P102&gt;0,SUM($C$45:P45)/60,0)</f>
        <v>0</v>
      </c>
      <c r="R64" s="14">
        <f>IF(Q102&gt;0,SUM($C$45:Q45)/60,0)</f>
        <v>0</v>
      </c>
      <c r="S64" s="14">
        <f>IF(R102&gt;0,SUM($C$45:R45)/60,0)</f>
        <v>0</v>
      </c>
      <c r="T64" s="14">
        <f>IF(S102&gt;0,SUM($C$45:S45)/60,0)</f>
        <v>0</v>
      </c>
      <c r="U64" s="14">
        <f>IF(T102&gt;0,SUM($C$45:T45)/60,0)</f>
        <v>0</v>
      </c>
      <c r="V64" s="14">
        <f>IF(U102&gt;0,SUM($C$45:U45)/60,0)</f>
        <v>0</v>
      </c>
      <c r="W64" s="14">
        <f>IF(V102&gt;0,SUM($C$45:V45)/60,0)</f>
        <v>0</v>
      </c>
      <c r="X64" s="14">
        <f>IF(W102&gt;0,SUM($C$45:W45)/60,0)</f>
        <v>0</v>
      </c>
      <c r="Y64" s="14">
        <f>IF(X102&gt;0,SUM($C$45:X45)/60,0)</f>
        <v>0</v>
      </c>
      <c r="Z64" s="14">
        <f>IF(Y102&gt;0,SUM($C$45:Y45)/60,0)</f>
        <v>0</v>
      </c>
      <c r="AA64" s="14">
        <f>IF(Z102&gt;0,SUM($C$45:Z45)/60,0)</f>
        <v>0</v>
      </c>
      <c r="AB64" s="14">
        <f>IF(AA102&gt;0,SUM($C$45:AA45)/60,0)</f>
        <v>0</v>
      </c>
      <c r="AC64" s="14">
        <f>IF(AB102&gt;0,SUM($C$45:AB45)/60,0)</f>
        <v>0</v>
      </c>
      <c r="AD64" s="14">
        <f>IF(AC102&gt;0,SUM($C$45:AC45)/60,0)</f>
        <v>0</v>
      </c>
      <c r="AE64" s="14">
        <f>IF(AD102&gt;0,SUM($C$45:AD45)/60,0)</f>
        <v>0</v>
      </c>
      <c r="AF64" s="14">
        <f>IF(AE102&gt;0,SUM($C$45:AE45)/60,0)</f>
        <v>0</v>
      </c>
      <c r="AG64" s="14">
        <f>IF(AF102&gt;0,SUM($C$45:AF45)/60,0)</f>
        <v>0</v>
      </c>
      <c r="AH64" s="14">
        <f>IF(AG102&gt;0,SUM($C$45:AG45)/60,0)</f>
        <v>0</v>
      </c>
      <c r="AI64" s="14">
        <f>IF(AH102&gt;0,SUM($C$45:AH45)/60,0)</f>
        <v>0</v>
      </c>
      <c r="AJ64" s="14">
        <f>IF(AI102&gt;0,SUM($C$45:AI45)/60,0)</f>
        <v>0</v>
      </c>
      <c r="AK64" s="14">
        <f>IF(AJ102&gt;0,SUM($C$45:AJ45)/60,0)</f>
        <v>0</v>
      </c>
      <c r="AL64" s="14">
        <f>IF(AK102&gt;0,SUM($C$45:AK45)/60,0)</f>
        <v>0</v>
      </c>
      <c r="AM64" s="14">
        <f>IF(AL102&gt;0,SUM($C$45:AL45)/60,0)</f>
        <v>0</v>
      </c>
      <c r="AN64" s="14">
        <f>IF(AM102&gt;0,SUM($C$45:AM45)/60,0)</f>
        <v>0</v>
      </c>
      <c r="AO64" s="14">
        <f>IF(AN102&gt;0,SUM($C$45:AN45)/60,0)</f>
        <v>0</v>
      </c>
      <c r="AP64" s="14">
        <f>IF(AO102&gt;0,SUM($C$45:AO45)/60,0)</f>
        <v>0</v>
      </c>
      <c r="AQ64" s="14">
        <f>IF(AP102&gt;0,SUM($C$45:AP45)/60,0)</f>
        <v>0</v>
      </c>
      <c r="AR64" s="14">
        <f>IF(AQ102&gt;0,SUM($C$45:AQ45)/60,0)</f>
        <v>0</v>
      </c>
      <c r="AS64" s="14">
        <f>IF(AR102&gt;0,SUM($C$45:AR45)/60,0)</f>
        <v>0</v>
      </c>
      <c r="AT64" s="14">
        <f>IF(AS102&gt;0,SUM($C$45:AS45)/60,0)</f>
        <v>0</v>
      </c>
      <c r="AU64" s="14">
        <f>IF(AT102&gt;0,SUM($C$45:AT45)/60,0)</f>
        <v>0</v>
      </c>
      <c r="AV64" s="14">
        <f>IF(AU102&gt;0,SUM($C$45:AU45)/60,0)</f>
        <v>0</v>
      </c>
      <c r="AW64" s="14">
        <f>IF(AV102&gt;0,SUM($C$45:AV45)/60,0)</f>
        <v>0</v>
      </c>
      <c r="AX64" s="14">
        <f>IF(AW102&gt;0,SUM($C$45:AW45)/60,0)</f>
        <v>0</v>
      </c>
      <c r="AY64" s="14">
        <f>IF(AX102&gt;0,SUM($C$45:AX45)/60,0)</f>
        <v>0</v>
      </c>
      <c r="AZ64" s="14">
        <f>IF(AY102&gt;0,SUM($C$45:AY45)/60,0)</f>
        <v>0</v>
      </c>
      <c r="BA64" s="14">
        <f>IF(AZ102&gt;0,SUM($C$45:AZ45)/60,0)</f>
        <v>0</v>
      </c>
      <c r="BB64" s="14">
        <f>IF(BA102&gt;0,SUM($C$45:BA45)/60,0)</f>
        <v>0</v>
      </c>
      <c r="BC64" s="14">
        <f>IF(BB102&gt;0,SUM($C$45:BB45)/60,0)</f>
        <v>0</v>
      </c>
      <c r="BD64" s="14">
        <f>IF(BC102&gt;0,SUM($C$45:BC45)/60,0)</f>
        <v>0</v>
      </c>
      <c r="BE64" s="14">
        <f>IF(BD102&gt;0,SUM($C$45:BD45)/60,0)</f>
        <v>0</v>
      </c>
      <c r="BF64" s="14">
        <f>IF(BE102&gt;0,SUM($C$45:BE45)/60,0)</f>
        <v>0</v>
      </c>
      <c r="BG64" s="14">
        <f>IF(BF102&gt;0,SUM($C$45:BF45)/60,0)</f>
        <v>0</v>
      </c>
      <c r="BH64" s="14">
        <f>IF(BG102&gt;0,SUM($C$45:BG45)/60,0)</f>
        <v>0</v>
      </c>
      <c r="BI64" s="14">
        <f>IF(BH102&gt;0,SUM($C$45:BH45)/60,0)</f>
        <v>0</v>
      </c>
      <c r="BJ64" s="14">
        <f>IF(BI102&gt;0,SUM($C$45:BI45)/60,0)</f>
        <v>0</v>
      </c>
      <c r="BK64" s="14">
        <f>IF(BJ102&gt;0,SUM($C$45:BJ45)/60,0)</f>
        <v>0</v>
      </c>
      <c r="BL64" s="93">
        <f>IF(BK102&gt;0,SUM($C$45:BK45)/60,0)</f>
        <v>0</v>
      </c>
      <c r="BM64" s="93">
        <f>IF(BL102&gt;0,SUM($C$45:BL45)/60,0)</f>
        <v>0</v>
      </c>
      <c r="BN64" s="93" t="e">
        <f>IF(BM102&gt;0,SUM($C$45:BM45)/60,0)</f>
        <v>#DIV/0!</v>
      </c>
      <c r="BO64" s="93" t="e">
        <f>IF(BN102&gt;0,SUM($C$45:BN45)/60,0)</f>
        <v>#DIV/0!</v>
      </c>
      <c r="BP64" s="93" t="e">
        <f>IF(BO102&gt;0,SUM($C$45:BO45)/60,0)</f>
        <v>#DIV/0!</v>
      </c>
      <c r="BQ64" s="93" t="e">
        <f>IF(BP102&gt;0,SUM($C$45:BP45)/60,0)</f>
        <v>#DIV/0!</v>
      </c>
      <c r="BR64" s="93" t="e">
        <f>IF(BQ102&gt;0,SUM($C$45:BQ45)/60,0)</f>
        <v>#DIV/0!</v>
      </c>
      <c r="BS64" s="93" t="e">
        <f>IF(BR102&gt;0,SUM($C$45:BR45)/60,0)</f>
        <v>#DIV/0!</v>
      </c>
      <c r="BT64" s="93" t="e">
        <f>IF(BS102&gt;0,SUM($C$45:BS45)/60,0)</f>
        <v>#DIV/0!</v>
      </c>
      <c r="BU64" s="93" t="e">
        <f>IF(BT102&gt;0,SUM($C$45:BT45)/60,0)</f>
        <v>#DIV/0!</v>
      </c>
      <c r="BV64" s="93" t="e">
        <f>IF(BU102&gt;0,SUM($C$45:BU45)/60,0)</f>
        <v>#DIV/0!</v>
      </c>
      <c r="BW64" s="93" t="e">
        <f>IF(BV102&gt;0,SUM($C$45:BV45)/60,0)</f>
        <v>#DIV/0!</v>
      </c>
    </row>
    <row r="65" spans="1:75" hidden="1" x14ac:dyDescent="0.3">
      <c r="A65" s="104" t="str">
        <f t="shared" si="7"/>
        <v xml:space="preserve">Abonos a capital del crédito </v>
      </c>
      <c r="B65" s="105"/>
      <c r="C65" s="14"/>
      <c r="D65" s="14">
        <f>IF(C103&gt;0,SUM($C$46:C46)/60,0)</f>
        <v>0</v>
      </c>
      <c r="E65" s="14">
        <f>IF(D103&gt;0,SUM($C$46:D46)/60,0)</f>
        <v>0</v>
      </c>
      <c r="F65" s="14">
        <f>IF(E103&gt;0,SUM($C$46:E46)/60,0)</f>
        <v>0</v>
      </c>
      <c r="G65" s="14">
        <f>IF(F103&gt;0,SUM($C$46:F46)/60,0)</f>
        <v>0</v>
      </c>
      <c r="H65" s="14">
        <f>IF(G103&gt;0,SUM($C$46:G46)/60,0)</f>
        <v>0</v>
      </c>
      <c r="I65" s="14">
        <f>IF(H103&gt;0,SUM($C$46:H46)/60,0)</f>
        <v>0</v>
      </c>
      <c r="J65" s="14">
        <f>IF(I103&gt;0,SUM($C$46:I46)/60,0)</f>
        <v>0</v>
      </c>
      <c r="K65" s="14">
        <f>IF(J103&gt;0,SUM($C$46:J46)/60,0)</f>
        <v>0</v>
      </c>
      <c r="L65" s="14">
        <f>IF(K103&gt;0,SUM($C$46:K46)/60,0)</f>
        <v>0</v>
      </c>
      <c r="M65" s="14">
        <f>IF(L103&gt;0,SUM($C$46:L46)/60,0)</f>
        <v>0</v>
      </c>
      <c r="N65" s="14">
        <f>IF(M103&gt;0,SUM($C$46:M46)/60,0)</f>
        <v>0</v>
      </c>
      <c r="O65" s="14">
        <f>IF(N103&gt;0,SUM($C$46:N46)/60,0)</f>
        <v>0</v>
      </c>
      <c r="P65" s="14">
        <f>IF(O103&gt;0,SUM($C$46:O46)/60,0)</f>
        <v>0</v>
      </c>
      <c r="Q65" s="14">
        <f>IF(P103&gt;0,SUM($C$46:P46)/60,0)</f>
        <v>0</v>
      </c>
      <c r="R65" s="14">
        <f>IF(Q103&gt;0,SUM($C$46:Q46)/60,0)</f>
        <v>0</v>
      </c>
      <c r="S65" s="14">
        <f>IF(R103&gt;0,SUM($C$46:R46)/60,0)</f>
        <v>0</v>
      </c>
      <c r="T65" s="14">
        <f>IF(S103&gt;0,SUM($C$46:S46)/60,0)</f>
        <v>0</v>
      </c>
      <c r="U65" s="14">
        <f>IF(T103&gt;0,SUM($C$46:T46)/60,0)</f>
        <v>0</v>
      </c>
      <c r="V65" s="14">
        <f>IF(U103&gt;0,SUM($C$46:U46)/60,0)</f>
        <v>0</v>
      </c>
      <c r="W65" s="14">
        <f>IF(V103&gt;0,SUM($C$46:V46)/60,0)</f>
        <v>0</v>
      </c>
      <c r="X65" s="14">
        <f>IF(W103&gt;0,SUM($C$46:W46)/60,0)</f>
        <v>0</v>
      </c>
      <c r="Y65" s="14">
        <f>IF(X103&gt;0,SUM($C$46:X46)/60,0)</f>
        <v>0</v>
      </c>
      <c r="Z65" s="14">
        <f>IF(Y103&gt;0,SUM($C$46:Y46)/60,0)</f>
        <v>0</v>
      </c>
      <c r="AA65" s="14">
        <f>IF(Z103&gt;0,SUM($C$46:Z46)/60,0)</f>
        <v>0</v>
      </c>
      <c r="AB65" s="14">
        <f>IF(AA103&gt;0,SUM($C$46:AA46)/60,0)</f>
        <v>0</v>
      </c>
      <c r="AC65" s="14">
        <f>IF(AB103&gt;0,SUM($C$46:AB46)/60,0)</f>
        <v>0</v>
      </c>
      <c r="AD65" s="14">
        <f>IF(AC103&gt;0,SUM($C$46:AC46)/60,0)</f>
        <v>0</v>
      </c>
      <c r="AE65" s="14">
        <f>IF(AD103&gt;0,SUM($C$46:AD46)/60,0)</f>
        <v>0</v>
      </c>
      <c r="AF65" s="14">
        <f>IF(AE103&gt;0,SUM($C$46:AE46)/60,0)</f>
        <v>0</v>
      </c>
      <c r="AG65" s="14">
        <f>IF(AF103&gt;0,SUM($C$46:AF46)/60,0)</f>
        <v>0</v>
      </c>
      <c r="AH65" s="14">
        <f>IF(AG103&gt;0,SUM($C$46:AG46)/60,0)</f>
        <v>0</v>
      </c>
      <c r="AI65" s="14">
        <f>IF(AH103&gt;0,SUM($C$46:AH46)/60,0)</f>
        <v>0</v>
      </c>
      <c r="AJ65" s="14">
        <f>IF(AI103&gt;0,SUM($C$46:AI46)/60,0)</f>
        <v>0</v>
      </c>
      <c r="AK65" s="14">
        <f>IF(AJ103&gt;0,SUM($C$46:AJ46)/60,0)</f>
        <v>0</v>
      </c>
      <c r="AL65" s="14">
        <f>IF(AK103&gt;0,SUM($C$46:AK46)/60,0)</f>
        <v>0</v>
      </c>
      <c r="AM65" s="14">
        <f>IF(AL103&gt;0,SUM($C$46:AL46)/60,0)</f>
        <v>0</v>
      </c>
      <c r="AN65" s="14">
        <f>IF(AM103&gt;0,SUM($C$46:AM46)/60,0)</f>
        <v>0</v>
      </c>
      <c r="AO65" s="14">
        <f>IF(AN103&gt;0,SUM($C$46:AN46)/60,0)</f>
        <v>0</v>
      </c>
      <c r="AP65" s="14">
        <f>IF(AO103&gt;0,SUM($C$46:AO46)/60,0)</f>
        <v>0</v>
      </c>
      <c r="AQ65" s="14">
        <f>IF(AP103&gt;0,SUM($C$46:AP46)/60,0)</f>
        <v>0</v>
      </c>
      <c r="AR65" s="14">
        <f>IF(AQ103&gt;0,SUM($C$46:AQ46)/60,0)</f>
        <v>0</v>
      </c>
      <c r="AS65" s="14">
        <f>IF(AR103&gt;0,SUM($C$46:AR46)/60,0)</f>
        <v>0</v>
      </c>
      <c r="AT65" s="14">
        <f>IF(AS103&gt;0,SUM($C$46:AS46)/60,0)</f>
        <v>0</v>
      </c>
      <c r="AU65" s="14">
        <f>IF(AT103&gt;0,SUM($C$46:AT46)/60,0)</f>
        <v>0</v>
      </c>
      <c r="AV65" s="14">
        <f>IF(AU103&gt;0,SUM($C$46:AU46)/60,0)</f>
        <v>0</v>
      </c>
      <c r="AW65" s="14">
        <f>IF(AV103&gt;0,SUM($C$46:AV46)/60,0)</f>
        <v>0</v>
      </c>
      <c r="AX65" s="14">
        <f>IF(AW103&gt;0,SUM($C$46:AW46)/60,0)</f>
        <v>0</v>
      </c>
      <c r="AY65" s="14">
        <f>IF(AX103&gt;0,SUM($C$46:AX46)/60,0)</f>
        <v>0</v>
      </c>
      <c r="AZ65" s="14">
        <f>IF(AY103&gt;0,SUM($C$46:AY46)/60,0)</f>
        <v>0</v>
      </c>
      <c r="BA65" s="14">
        <f>IF(AZ103&gt;0,SUM($C$46:AZ46)/60,0)</f>
        <v>0</v>
      </c>
      <c r="BB65" s="14">
        <f>IF(BA103&gt;0,SUM($C$46:BA46)/60,0)</f>
        <v>0</v>
      </c>
      <c r="BC65" s="14">
        <f>IF(BB103&gt;0,SUM($C$46:BB46)/60,0)</f>
        <v>0</v>
      </c>
      <c r="BD65" s="14">
        <f>IF(BC103&gt;0,SUM($C$46:BC46)/60,0)</f>
        <v>0</v>
      </c>
      <c r="BE65" s="14">
        <f>IF(BD103&gt;0,SUM($C$46:BD46)/60,0)</f>
        <v>0</v>
      </c>
      <c r="BF65" s="14">
        <f>IF(BE103&gt;0,SUM($C$46:BE46)/60,0)</f>
        <v>0</v>
      </c>
      <c r="BG65" s="14">
        <f>IF(BF103&gt;0,SUM($C$46:BF46)/60,0)</f>
        <v>0</v>
      </c>
      <c r="BH65" s="14">
        <f>IF(BG103&gt;0,SUM($C$46:BG46)/60,0)</f>
        <v>0</v>
      </c>
      <c r="BI65" s="14">
        <f>IF(BH103&gt;0,SUM($C$46:BH46)/60,0)</f>
        <v>0</v>
      </c>
      <c r="BJ65" s="14">
        <f>IF(BI103&gt;0,SUM($C$46:BI46)/60,0)</f>
        <v>0</v>
      </c>
      <c r="BK65" s="14">
        <f>IF(BJ103&gt;0,SUM($C$46:BJ46)/60,0)</f>
        <v>0</v>
      </c>
      <c r="BL65" s="93">
        <f>IF(BK103&gt;0,SUM($C$46:BK46)/60,0)</f>
        <v>0</v>
      </c>
      <c r="BM65" s="93">
        <f>IF(BL103&gt;0,SUM($C$46:BL46)/60,0)</f>
        <v>0</v>
      </c>
      <c r="BN65" s="93" t="e">
        <f>IF(BM103&gt;0,SUM($C$46:BM46)/60,0)</f>
        <v>#DIV/0!</v>
      </c>
      <c r="BO65" s="93" t="e">
        <f>IF(BN103&gt;0,SUM($C$46:BN46)/60,0)</f>
        <v>#DIV/0!</v>
      </c>
      <c r="BP65" s="93" t="e">
        <f>IF(BO103&gt;0,SUM($C$46:BO46)/60,0)</f>
        <v>#DIV/0!</v>
      </c>
      <c r="BQ65" s="93" t="e">
        <f>IF(BP103&gt;0,SUM($C$46:BP46)/60,0)</f>
        <v>#DIV/0!</v>
      </c>
      <c r="BR65" s="93" t="e">
        <f>IF(BQ103&gt;0,SUM($C$46:BQ46)/60,0)</f>
        <v>#DIV/0!</v>
      </c>
      <c r="BS65" s="93" t="e">
        <f>IF(BR103&gt;0,SUM($C$46:BR46)/60,0)</f>
        <v>#DIV/0!</v>
      </c>
      <c r="BT65" s="93" t="e">
        <f>IF(BS103&gt;0,SUM($C$46:BS46)/60,0)</f>
        <v>#DIV/0!</v>
      </c>
      <c r="BU65" s="93" t="e">
        <f>IF(BT103&gt;0,SUM($C$46:BT46)/60,0)</f>
        <v>#DIV/0!</v>
      </c>
      <c r="BV65" s="93" t="e">
        <f>IF(BU103&gt;0,SUM($C$46:BU46)/60,0)</f>
        <v>#DIV/0!</v>
      </c>
      <c r="BW65" s="93" t="e">
        <f>IF(BV103&gt;0,SUM($C$46:BV46)/60,0)</f>
        <v>#DIV/0!</v>
      </c>
    </row>
    <row r="66" spans="1:75" hidden="1" x14ac:dyDescent="0.3">
      <c r="A66" s="110" t="s">
        <v>227</v>
      </c>
      <c r="B66" s="111"/>
      <c r="C66" s="9">
        <f t="shared" ref="C66:AH66" si="8">SUM(C51:C65)</f>
        <v>0</v>
      </c>
      <c r="D66" s="9">
        <f t="shared" si="8"/>
        <v>0</v>
      </c>
      <c r="E66" s="9">
        <f t="shared" si="8"/>
        <v>0</v>
      </c>
      <c r="F66" s="9">
        <f t="shared" si="8"/>
        <v>0</v>
      </c>
      <c r="G66" s="9">
        <f t="shared" si="8"/>
        <v>0</v>
      </c>
      <c r="H66" s="9">
        <f t="shared" si="8"/>
        <v>0</v>
      </c>
      <c r="I66" s="9">
        <f t="shared" si="8"/>
        <v>0</v>
      </c>
      <c r="J66" s="9">
        <f t="shared" si="8"/>
        <v>0</v>
      </c>
      <c r="K66" s="9">
        <f t="shared" si="8"/>
        <v>0</v>
      </c>
      <c r="L66" s="9">
        <f t="shared" si="8"/>
        <v>0</v>
      </c>
      <c r="M66" s="9">
        <f t="shared" si="8"/>
        <v>0</v>
      </c>
      <c r="N66" s="9">
        <f t="shared" si="8"/>
        <v>0</v>
      </c>
      <c r="O66" s="9">
        <f t="shared" si="8"/>
        <v>0</v>
      </c>
      <c r="P66" s="9">
        <f t="shared" si="8"/>
        <v>0</v>
      </c>
      <c r="Q66" s="9">
        <f t="shared" si="8"/>
        <v>0</v>
      </c>
      <c r="R66" s="9">
        <f t="shared" si="8"/>
        <v>0</v>
      </c>
      <c r="S66" s="9">
        <f t="shared" si="8"/>
        <v>0</v>
      </c>
      <c r="T66" s="9">
        <f t="shared" si="8"/>
        <v>0</v>
      </c>
      <c r="U66" s="9">
        <f t="shared" si="8"/>
        <v>0</v>
      </c>
      <c r="V66" s="9">
        <f t="shared" si="8"/>
        <v>0</v>
      </c>
      <c r="W66" s="9">
        <f t="shared" si="8"/>
        <v>0</v>
      </c>
      <c r="X66" s="9">
        <f t="shared" si="8"/>
        <v>0</v>
      </c>
      <c r="Y66" s="9">
        <f t="shared" si="8"/>
        <v>0</v>
      </c>
      <c r="Z66" s="9">
        <f t="shared" si="8"/>
        <v>0</v>
      </c>
      <c r="AA66" s="9">
        <f t="shared" si="8"/>
        <v>0</v>
      </c>
      <c r="AB66" s="9">
        <f t="shared" si="8"/>
        <v>0</v>
      </c>
      <c r="AC66" s="9">
        <f t="shared" si="8"/>
        <v>0</v>
      </c>
      <c r="AD66" s="9">
        <f t="shared" si="8"/>
        <v>0</v>
      </c>
      <c r="AE66" s="9">
        <f t="shared" si="8"/>
        <v>0</v>
      </c>
      <c r="AF66" s="9">
        <f t="shared" si="8"/>
        <v>0</v>
      </c>
      <c r="AG66" s="9">
        <f t="shared" si="8"/>
        <v>0</v>
      </c>
      <c r="AH66" s="9">
        <f t="shared" si="8"/>
        <v>0</v>
      </c>
      <c r="AI66" s="9">
        <f t="shared" ref="AI66:AL66" si="9">SUM(AI51:AI65)</f>
        <v>0</v>
      </c>
      <c r="AJ66" s="9">
        <f t="shared" si="9"/>
        <v>0</v>
      </c>
      <c r="AK66" s="9">
        <f t="shared" si="9"/>
        <v>0</v>
      </c>
      <c r="AL66" s="9">
        <f t="shared" si="9"/>
        <v>0</v>
      </c>
      <c r="AM66" s="9">
        <f>SUM(AM51:AM65)</f>
        <v>0</v>
      </c>
      <c r="AN66" s="9">
        <f t="shared" ref="AN66:BV66" si="10">SUM(AN51:AN65)</f>
        <v>0</v>
      </c>
      <c r="AO66" s="9">
        <f t="shared" si="10"/>
        <v>0</v>
      </c>
      <c r="AP66" s="9">
        <f t="shared" si="10"/>
        <v>0</v>
      </c>
      <c r="AQ66" s="9">
        <f t="shared" si="10"/>
        <v>0</v>
      </c>
      <c r="AR66" s="9">
        <f t="shared" si="10"/>
        <v>0</v>
      </c>
      <c r="AS66" s="9">
        <f t="shared" si="10"/>
        <v>0</v>
      </c>
      <c r="AT66" s="9">
        <f t="shared" si="10"/>
        <v>0</v>
      </c>
      <c r="AU66" s="9">
        <f t="shared" si="10"/>
        <v>0</v>
      </c>
      <c r="AV66" s="9">
        <f t="shared" si="10"/>
        <v>0</v>
      </c>
      <c r="AW66" s="9">
        <f t="shared" si="10"/>
        <v>0</v>
      </c>
      <c r="AX66" s="9">
        <f t="shared" si="10"/>
        <v>0</v>
      </c>
      <c r="AY66" s="9">
        <f t="shared" si="10"/>
        <v>0</v>
      </c>
      <c r="AZ66" s="9">
        <f t="shared" si="10"/>
        <v>0</v>
      </c>
      <c r="BA66" s="9">
        <f t="shared" si="10"/>
        <v>0</v>
      </c>
      <c r="BB66" s="9">
        <f t="shared" si="10"/>
        <v>0</v>
      </c>
      <c r="BC66" s="9">
        <f t="shared" si="10"/>
        <v>0</v>
      </c>
      <c r="BD66" s="9">
        <f t="shared" si="10"/>
        <v>0</v>
      </c>
      <c r="BE66" s="9">
        <f t="shared" si="10"/>
        <v>0</v>
      </c>
      <c r="BF66" s="9">
        <f t="shared" si="10"/>
        <v>0</v>
      </c>
      <c r="BG66" s="9">
        <f t="shared" si="10"/>
        <v>0</v>
      </c>
      <c r="BH66" s="9">
        <f t="shared" si="10"/>
        <v>0</v>
      </c>
      <c r="BI66" s="9">
        <f t="shared" si="10"/>
        <v>0</v>
      </c>
      <c r="BJ66" s="9">
        <f t="shared" si="10"/>
        <v>0</v>
      </c>
      <c r="BK66" s="9">
        <f t="shared" si="10"/>
        <v>0</v>
      </c>
      <c r="BL66" s="9">
        <f t="shared" si="10"/>
        <v>0</v>
      </c>
      <c r="BM66" s="9">
        <f t="shared" si="10"/>
        <v>0</v>
      </c>
      <c r="BN66" s="9" t="e">
        <f t="shared" si="10"/>
        <v>#DIV/0!</v>
      </c>
      <c r="BO66" s="9" t="e">
        <f t="shared" si="10"/>
        <v>#DIV/0!</v>
      </c>
      <c r="BP66" s="9" t="e">
        <f t="shared" si="10"/>
        <v>#DIV/0!</v>
      </c>
      <c r="BQ66" s="9" t="e">
        <f t="shared" si="10"/>
        <v>#DIV/0!</v>
      </c>
      <c r="BR66" s="9" t="e">
        <f t="shared" si="10"/>
        <v>#DIV/0!</v>
      </c>
      <c r="BS66" s="9" t="e">
        <f t="shared" si="10"/>
        <v>#DIV/0!</v>
      </c>
      <c r="BT66" s="9" t="e">
        <f t="shared" si="10"/>
        <v>#DIV/0!</v>
      </c>
      <c r="BU66" s="9" t="e">
        <f t="shared" si="10"/>
        <v>#DIV/0!</v>
      </c>
      <c r="BV66" s="9" t="e">
        <f t="shared" si="10"/>
        <v>#DIV/0!</v>
      </c>
      <c r="BW66" s="9" t="e">
        <f t="shared" ref="BW66" si="11">SUM(BW51:BW65)</f>
        <v>#DIV/0!</v>
      </c>
    </row>
    <row r="67" spans="1:75" hidden="1" x14ac:dyDescent="0.3"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</row>
    <row r="68" spans="1:75" hidden="1" x14ac:dyDescent="0.3">
      <c r="A68" s="106" t="s">
        <v>228</v>
      </c>
      <c r="B68" s="107"/>
      <c r="C68" s="11"/>
      <c r="D68" s="103">
        <f>Año1</f>
        <v>2027</v>
      </c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>
        <f>Año2</f>
        <v>2028</v>
      </c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>
        <f>Año3</f>
        <v>2029</v>
      </c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>
        <f>Año4</f>
        <v>2030</v>
      </c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>
        <f>Año5</f>
        <v>2031</v>
      </c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</row>
    <row r="69" spans="1:75" hidden="1" x14ac:dyDescent="0.3">
      <c r="A69" s="108"/>
      <c r="B69" s="109"/>
      <c r="C69" s="11" t="s">
        <v>196</v>
      </c>
      <c r="D69" s="4" t="s">
        <v>67</v>
      </c>
      <c r="E69" s="4" t="s">
        <v>68</v>
      </c>
      <c r="F69" s="4" t="s">
        <v>69</v>
      </c>
      <c r="G69" s="4" t="s">
        <v>70</v>
      </c>
      <c r="H69" s="4" t="s">
        <v>71</v>
      </c>
      <c r="I69" s="4" t="s">
        <v>72</v>
      </c>
      <c r="J69" s="4" t="s">
        <v>73</v>
      </c>
      <c r="K69" s="4" t="s">
        <v>74</v>
      </c>
      <c r="L69" s="4" t="s">
        <v>75</v>
      </c>
      <c r="M69" s="4" t="s">
        <v>76</v>
      </c>
      <c r="N69" s="4" t="s">
        <v>77</v>
      </c>
      <c r="O69" s="4" t="s">
        <v>78</v>
      </c>
      <c r="P69" s="4" t="s">
        <v>79</v>
      </c>
      <c r="Q69" s="4" t="s">
        <v>80</v>
      </c>
      <c r="R69" s="4" t="s">
        <v>81</v>
      </c>
      <c r="S69" s="4" t="s">
        <v>82</v>
      </c>
      <c r="T69" s="4" t="s">
        <v>83</v>
      </c>
      <c r="U69" s="4" t="s">
        <v>84</v>
      </c>
      <c r="V69" s="4" t="s">
        <v>85</v>
      </c>
      <c r="W69" s="4" t="s">
        <v>86</v>
      </c>
      <c r="X69" s="4" t="s">
        <v>87</v>
      </c>
      <c r="Y69" s="4" t="s">
        <v>88</v>
      </c>
      <c r="Z69" s="4" t="s">
        <v>89</v>
      </c>
      <c r="AA69" s="4" t="s">
        <v>90</v>
      </c>
      <c r="AB69" s="4" t="s">
        <v>91</v>
      </c>
      <c r="AC69" s="4" t="s">
        <v>92</v>
      </c>
      <c r="AD69" s="4" t="s">
        <v>93</v>
      </c>
      <c r="AE69" s="4" t="s">
        <v>94</v>
      </c>
      <c r="AF69" s="4" t="s">
        <v>95</v>
      </c>
      <c r="AG69" s="4" t="s">
        <v>96</v>
      </c>
      <c r="AH69" s="4" t="s">
        <v>97</v>
      </c>
      <c r="AI69" s="4" t="s">
        <v>98</v>
      </c>
      <c r="AJ69" s="4" t="s">
        <v>99</v>
      </c>
      <c r="AK69" s="4" t="s">
        <v>100</v>
      </c>
      <c r="AL69" s="4" t="s">
        <v>101</v>
      </c>
      <c r="AM69" s="4" t="s">
        <v>102</v>
      </c>
      <c r="AN69" s="4" t="s">
        <v>103</v>
      </c>
      <c r="AO69" s="4" t="s">
        <v>104</v>
      </c>
      <c r="AP69" s="4" t="s">
        <v>105</v>
      </c>
      <c r="AQ69" s="4" t="s">
        <v>106</v>
      </c>
      <c r="AR69" s="4" t="s">
        <v>107</v>
      </c>
      <c r="AS69" s="4" t="s">
        <v>108</v>
      </c>
      <c r="AT69" s="4" t="s">
        <v>109</v>
      </c>
      <c r="AU69" s="4" t="s">
        <v>110</v>
      </c>
      <c r="AV69" s="4" t="s">
        <v>111</v>
      </c>
      <c r="AW69" s="4" t="s">
        <v>112</v>
      </c>
      <c r="AX69" s="4" t="s">
        <v>113</v>
      </c>
      <c r="AY69" s="4" t="s">
        <v>114</v>
      </c>
      <c r="AZ69" s="4" t="s">
        <v>115</v>
      </c>
      <c r="BA69" s="4" t="s">
        <v>116</v>
      </c>
      <c r="BB69" s="4" t="s">
        <v>117</v>
      </c>
      <c r="BC69" s="4" t="s">
        <v>118</v>
      </c>
      <c r="BD69" s="4" t="s">
        <v>119</v>
      </c>
      <c r="BE69" s="4" t="s">
        <v>120</v>
      </c>
      <c r="BF69" s="4" t="s">
        <v>121</v>
      </c>
      <c r="BG69" s="4" t="s">
        <v>122</v>
      </c>
      <c r="BH69" s="4" t="s">
        <v>123</v>
      </c>
      <c r="BI69" s="4" t="s">
        <v>124</v>
      </c>
      <c r="BJ69" s="4" t="s">
        <v>125</v>
      </c>
      <c r="BK69" s="4" t="s">
        <v>126</v>
      </c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</row>
    <row r="70" spans="1:75" hidden="1" x14ac:dyDescent="0.3">
      <c r="A70" s="104" t="str">
        <f>CONCATENATE("Pago de intereses por el crédito"," ",A32)</f>
        <v xml:space="preserve">Pago de intereses por el crédito </v>
      </c>
      <c r="B70" s="105"/>
      <c r="C70" s="12"/>
      <c r="D70" s="13">
        <f>C89*$B$32</f>
        <v>0</v>
      </c>
      <c r="E70" s="13">
        <f t="shared" ref="E70:BK70" si="12">D89*$B$32</f>
        <v>0</v>
      </c>
      <c r="F70" s="13">
        <f t="shared" si="12"/>
        <v>0</v>
      </c>
      <c r="G70" s="13">
        <f t="shared" si="12"/>
        <v>0</v>
      </c>
      <c r="H70" s="13">
        <f t="shared" si="12"/>
        <v>0</v>
      </c>
      <c r="I70" s="13">
        <f t="shared" si="12"/>
        <v>0</v>
      </c>
      <c r="J70" s="13">
        <f t="shared" si="12"/>
        <v>0</v>
      </c>
      <c r="K70" s="13">
        <f t="shared" si="12"/>
        <v>0</v>
      </c>
      <c r="L70" s="13">
        <f t="shared" si="12"/>
        <v>0</v>
      </c>
      <c r="M70" s="13">
        <f t="shared" si="12"/>
        <v>0</v>
      </c>
      <c r="N70" s="13">
        <f t="shared" si="12"/>
        <v>0</v>
      </c>
      <c r="O70" s="13">
        <f t="shared" si="12"/>
        <v>0</v>
      </c>
      <c r="P70" s="13">
        <f t="shared" si="12"/>
        <v>0</v>
      </c>
      <c r="Q70" s="13">
        <f t="shared" si="12"/>
        <v>0</v>
      </c>
      <c r="R70" s="13">
        <f t="shared" si="12"/>
        <v>0</v>
      </c>
      <c r="S70" s="13">
        <f t="shared" si="12"/>
        <v>0</v>
      </c>
      <c r="T70" s="13">
        <f t="shared" si="12"/>
        <v>0</v>
      </c>
      <c r="U70" s="13">
        <f t="shared" si="12"/>
        <v>0</v>
      </c>
      <c r="V70" s="13">
        <f t="shared" si="12"/>
        <v>0</v>
      </c>
      <c r="W70" s="13">
        <f t="shared" si="12"/>
        <v>0</v>
      </c>
      <c r="X70" s="13">
        <f t="shared" si="12"/>
        <v>0</v>
      </c>
      <c r="Y70" s="13">
        <f t="shared" si="12"/>
        <v>0</v>
      </c>
      <c r="Z70" s="13">
        <f t="shared" si="12"/>
        <v>0</v>
      </c>
      <c r="AA70" s="13">
        <f t="shared" si="12"/>
        <v>0</v>
      </c>
      <c r="AB70" s="13">
        <f t="shared" si="12"/>
        <v>0</v>
      </c>
      <c r="AC70" s="13">
        <f t="shared" si="12"/>
        <v>0</v>
      </c>
      <c r="AD70" s="13">
        <f t="shared" si="12"/>
        <v>0</v>
      </c>
      <c r="AE70" s="13">
        <f t="shared" si="12"/>
        <v>0</v>
      </c>
      <c r="AF70" s="13">
        <f t="shared" si="12"/>
        <v>0</v>
      </c>
      <c r="AG70" s="13">
        <f t="shared" si="12"/>
        <v>0</v>
      </c>
      <c r="AH70" s="13">
        <f t="shared" si="12"/>
        <v>0</v>
      </c>
      <c r="AI70" s="13">
        <f t="shared" si="12"/>
        <v>0</v>
      </c>
      <c r="AJ70" s="13">
        <f t="shared" si="12"/>
        <v>0</v>
      </c>
      <c r="AK70" s="13">
        <f t="shared" si="12"/>
        <v>0</v>
      </c>
      <c r="AL70" s="13">
        <f t="shared" si="12"/>
        <v>0</v>
      </c>
      <c r="AM70" s="13">
        <f t="shared" si="12"/>
        <v>0</v>
      </c>
      <c r="AN70" s="13">
        <f t="shared" si="12"/>
        <v>0</v>
      </c>
      <c r="AO70" s="13">
        <f t="shared" si="12"/>
        <v>0</v>
      </c>
      <c r="AP70" s="13">
        <f t="shared" si="12"/>
        <v>0</v>
      </c>
      <c r="AQ70" s="13">
        <f t="shared" si="12"/>
        <v>0</v>
      </c>
      <c r="AR70" s="13">
        <f t="shared" si="12"/>
        <v>0</v>
      </c>
      <c r="AS70" s="13">
        <f t="shared" si="12"/>
        <v>0</v>
      </c>
      <c r="AT70" s="13">
        <f t="shared" si="12"/>
        <v>0</v>
      </c>
      <c r="AU70" s="13">
        <f t="shared" si="12"/>
        <v>0</v>
      </c>
      <c r="AV70" s="13">
        <f t="shared" si="12"/>
        <v>0</v>
      </c>
      <c r="AW70" s="13">
        <f t="shared" si="12"/>
        <v>0</v>
      </c>
      <c r="AX70" s="13">
        <f t="shared" si="12"/>
        <v>0</v>
      </c>
      <c r="AY70" s="13">
        <f t="shared" si="12"/>
        <v>0</v>
      </c>
      <c r="AZ70" s="13">
        <f t="shared" si="12"/>
        <v>0</v>
      </c>
      <c r="BA70" s="13">
        <f t="shared" si="12"/>
        <v>0</v>
      </c>
      <c r="BB70" s="13">
        <f t="shared" si="12"/>
        <v>0</v>
      </c>
      <c r="BC70" s="13">
        <f t="shared" si="12"/>
        <v>0</v>
      </c>
      <c r="BD70" s="13">
        <f t="shared" si="12"/>
        <v>0</v>
      </c>
      <c r="BE70" s="13">
        <f t="shared" si="12"/>
        <v>0</v>
      </c>
      <c r="BF70" s="13">
        <f t="shared" si="12"/>
        <v>0</v>
      </c>
      <c r="BG70" s="13">
        <f t="shared" si="12"/>
        <v>0</v>
      </c>
      <c r="BH70" s="13">
        <f t="shared" si="12"/>
        <v>0</v>
      </c>
      <c r="BI70" s="13">
        <f t="shared" si="12"/>
        <v>0</v>
      </c>
      <c r="BJ70" s="13">
        <f t="shared" si="12"/>
        <v>0</v>
      </c>
      <c r="BK70" s="13">
        <f t="shared" si="12"/>
        <v>0</v>
      </c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</row>
    <row r="71" spans="1:75" hidden="1" x14ac:dyDescent="0.3">
      <c r="A71" s="104" t="str">
        <f t="shared" ref="A71:A84" si="13">CONCATENATE("Pago de intereses por el crédito"," ",A33)</f>
        <v xml:space="preserve">Pago de intereses por el crédito </v>
      </c>
      <c r="B71" s="105"/>
      <c r="C71" s="12"/>
      <c r="D71" s="13">
        <f>C90*$B$33</f>
        <v>0</v>
      </c>
      <c r="E71" s="13">
        <f t="shared" ref="E71:BK71" si="14">D90*$B$33</f>
        <v>0</v>
      </c>
      <c r="F71" s="13">
        <f t="shared" si="14"/>
        <v>0</v>
      </c>
      <c r="G71" s="13">
        <f t="shared" si="14"/>
        <v>0</v>
      </c>
      <c r="H71" s="13">
        <f t="shared" si="14"/>
        <v>0</v>
      </c>
      <c r="I71" s="13">
        <f t="shared" si="14"/>
        <v>0</v>
      </c>
      <c r="J71" s="13">
        <f t="shared" si="14"/>
        <v>0</v>
      </c>
      <c r="K71" s="13">
        <f t="shared" si="14"/>
        <v>0</v>
      </c>
      <c r="L71" s="13">
        <f t="shared" si="14"/>
        <v>0</v>
      </c>
      <c r="M71" s="13">
        <f t="shared" si="14"/>
        <v>0</v>
      </c>
      <c r="N71" s="13">
        <f t="shared" si="14"/>
        <v>0</v>
      </c>
      <c r="O71" s="13">
        <f t="shared" si="14"/>
        <v>0</v>
      </c>
      <c r="P71" s="13">
        <f t="shared" si="14"/>
        <v>0</v>
      </c>
      <c r="Q71" s="13">
        <f t="shared" si="14"/>
        <v>0</v>
      </c>
      <c r="R71" s="13">
        <f t="shared" si="14"/>
        <v>0</v>
      </c>
      <c r="S71" s="13">
        <f t="shared" si="14"/>
        <v>0</v>
      </c>
      <c r="T71" s="13">
        <f t="shared" si="14"/>
        <v>0</v>
      </c>
      <c r="U71" s="13">
        <f t="shared" si="14"/>
        <v>0</v>
      </c>
      <c r="V71" s="13">
        <f t="shared" si="14"/>
        <v>0</v>
      </c>
      <c r="W71" s="13">
        <f t="shared" si="14"/>
        <v>0</v>
      </c>
      <c r="X71" s="13">
        <f t="shared" si="14"/>
        <v>0</v>
      </c>
      <c r="Y71" s="13">
        <f t="shared" si="14"/>
        <v>0</v>
      </c>
      <c r="Z71" s="13">
        <f t="shared" si="14"/>
        <v>0</v>
      </c>
      <c r="AA71" s="13">
        <f t="shared" si="14"/>
        <v>0</v>
      </c>
      <c r="AB71" s="13">
        <f t="shared" si="14"/>
        <v>0</v>
      </c>
      <c r="AC71" s="13">
        <f t="shared" si="14"/>
        <v>0</v>
      </c>
      <c r="AD71" s="13">
        <f t="shared" si="14"/>
        <v>0</v>
      </c>
      <c r="AE71" s="13">
        <f t="shared" si="14"/>
        <v>0</v>
      </c>
      <c r="AF71" s="13">
        <f t="shared" si="14"/>
        <v>0</v>
      </c>
      <c r="AG71" s="13">
        <f t="shared" si="14"/>
        <v>0</v>
      </c>
      <c r="AH71" s="13">
        <f t="shared" si="14"/>
        <v>0</v>
      </c>
      <c r="AI71" s="13">
        <f t="shared" si="14"/>
        <v>0</v>
      </c>
      <c r="AJ71" s="13">
        <f t="shared" si="14"/>
        <v>0</v>
      </c>
      <c r="AK71" s="13">
        <f t="shared" si="14"/>
        <v>0</v>
      </c>
      <c r="AL71" s="13">
        <f t="shared" si="14"/>
        <v>0</v>
      </c>
      <c r="AM71" s="13">
        <f t="shared" si="14"/>
        <v>0</v>
      </c>
      <c r="AN71" s="13">
        <f t="shared" si="14"/>
        <v>0</v>
      </c>
      <c r="AO71" s="13">
        <f t="shared" si="14"/>
        <v>0</v>
      </c>
      <c r="AP71" s="13">
        <f t="shared" si="14"/>
        <v>0</v>
      </c>
      <c r="AQ71" s="13">
        <f t="shared" si="14"/>
        <v>0</v>
      </c>
      <c r="AR71" s="13">
        <f t="shared" si="14"/>
        <v>0</v>
      </c>
      <c r="AS71" s="13">
        <f t="shared" si="14"/>
        <v>0</v>
      </c>
      <c r="AT71" s="13">
        <f t="shared" si="14"/>
        <v>0</v>
      </c>
      <c r="AU71" s="13">
        <f t="shared" si="14"/>
        <v>0</v>
      </c>
      <c r="AV71" s="13">
        <f t="shared" si="14"/>
        <v>0</v>
      </c>
      <c r="AW71" s="13">
        <f t="shared" si="14"/>
        <v>0</v>
      </c>
      <c r="AX71" s="13">
        <f t="shared" si="14"/>
        <v>0</v>
      </c>
      <c r="AY71" s="13">
        <f t="shared" si="14"/>
        <v>0</v>
      </c>
      <c r="AZ71" s="13">
        <f t="shared" si="14"/>
        <v>0</v>
      </c>
      <c r="BA71" s="13">
        <f t="shared" si="14"/>
        <v>0</v>
      </c>
      <c r="BB71" s="13">
        <f t="shared" si="14"/>
        <v>0</v>
      </c>
      <c r="BC71" s="13">
        <f t="shared" si="14"/>
        <v>0</v>
      </c>
      <c r="BD71" s="13">
        <f t="shared" si="14"/>
        <v>0</v>
      </c>
      <c r="BE71" s="13">
        <f t="shared" si="14"/>
        <v>0</v>
      </c>
      <c r="BF71" s="13">
        <f t="shared" si="14"/>
        <v>0</v>
      </c>
      <c r="BG71" s="13">
        <f t="shared" si="14"/>
        <v>0</v>
      </c>
      <c r="BH71" s="13">
        <f t="shared" si="14"/>
        <v>0</v>
      </c>
      <c r="BI71" s="13">
        <f t="shared" si="14"/>
        <v>0</v>
      </c>
      <c r="BJ71" s="13">
        <f t="shared" si="14"/>
        <v>0</v>
      </c>
      <c r="BK71" s="13">
        <f t="shared" si="14"/>
        <v>0</v>
      </c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</row>
    <row r="72" spans="1:75" hidden="1" x14ac:dyDescent="0.3">
      <c r="A72" s="104" t="str">
        <f t="shared" si="13"/>
        <v xml:space="preserve">Pago de intereses por el crédito </v>
      </c>
      <c r="B72" s="105"/>
      <c r="C72" s="12"/>
      <c r="D72" s="13">
        <f>C91*$B$34</f>
        <v>0</v>
      </c>
      <c r="E72" s="13">
        <f t="shared" ref="E72:BK72" si="15">D91*$B$34</f>
        <v>0</v>
      </c>
      <c r="F72" s="13">
        <f t="shared" si="15"/>
        <v>0</v>
      </c>
      <c r="G72" s="13">
        <f t="shared" si="15"/>
        <v>0</v>
      </c>
      <c r="H72" s="13">
        <f t="shared" si="15"/>
        <v>0</v>
      </c>
      <c r="I72" s="13">
        <f t="shared" si="15"/>
        <v>0</v>
      </c>
      <c r="J72" s="13">
        <f t="shared" si="15"/>
        <v>0</v>
      </c>
      <c r="K72" s="13">
        <f t="shared" si="15"/>
        <v>0</v>
      </c>
      <c r="L72" s="13">
        <f t="shared" si="15"/>
        <v>0</v>
      </c>
      <c r="M72" s="13">
        <f t="shared" si="15"/>
        <v>0</v>
      </c>
      <c r="N72" s="13">
        <f t="shared" si="15"/>
        <v>0</v>
      </c>
      <c r="O72" s="13">
        <f t="shared" si="15"/>
        <v>0</v>
      </c>
      <c r="P72" s="13">
        <f t="shared" si="15"/>
        <v>0</v>
      </c>
      <c r="Q72" s="13">
        <f t="shared" si="15"/>
        <v>0</v>
      </c>
      <c r="R72" s="13">
        <f t="shared" si="15"/>
        <v>0</v>
      </c>
      <c r="S72" s="13">
        <f t="shared" si="15"/>
        <v>0</v>
      </c>
      <c r="T72" s="13">
        <f t="shared" si="15"/>
        <v>0</v>
      </c>
      <c r="U72" s="13">
        <f t="shared" si="15"/>
        <v>0</v>
      </c>
      <c r="V72" s="13">
        <f t="shared" si="15"/>
        <v>0</v>
      </c>
      <c r="W72" s="13">
        <f t="shared" si="15"/>
        <v>0</v>
      </c>
      <c r="X72" s="13">
        <f t="shared" si="15"/>
        <v>0</v>
      </c>
      <c r="Y72" s="13">
        <f t="shared" si="15"/>
        <v>0</v>
      </c>
      <c r="Z72" s="13">
        <f t="shared" si="15"/>
        <v>0</v>
      </c>
      <c r="AA72" s="13">
        <f t="shared" si="15"/>
        <v>0</v>
      </c>
      <c r="AB72" s="13">
        <f>AA91*$B$34</f>
        <v>0</v>
      </c>
      <c r="AC72" s="13">
        <f t="shared" si="15"/>
        <v>0</v>
      </c>
      <c r="AD72" s="13">
        <f t="shared" si="15"/>
        <v>0</v>
      </c>
      <c r="AE72" s="13">
        <f t="shared" si="15"/>
        <v>0</v>
      </c>
      <c r="AF72" s="13">
        <f t="shared" si="15"/>
        <v>0</v>
      </c>
      <c r="AG72" s="13">
        <f t="shared" si="15"/>
        <v>0</v>
      </c>
      <c r="AH72" s="13">
        <f t="shared" si="15"/>
        <v>0</v>
      </c>
      <c r="AI72" s="13">
        <f t="shared" si="15"/>
        <v>0</v>
      </c>
      <c r="AJ72" s="13">
        <f t="shared" si="15"/>
        <v>0</v>
      </c>
      <c r="AK72" s="13">
        <f t="shared" si="15"/>
        <v>0</v>
      </c>
      <c r="AL72" s="13">
        <f t="shared" si="15"/>
        <v>0</v>
      </c>
      <c r="AM72" s="13">
        <f t="shared" si="15"/>
        <v>0</v>
      </c>
      <c r="AN72" s="13">
        <f t="shared" si="15"/>
        <v>0</v>
      </c>
      <c r="AO72" s="13">
        <f t="shared" si="15"/>
        <v>0</v>
      </c>
      <c r="AP72" s="13">
        <f t="shared" si="15"/>
        <v>0</v>
      </c>
      <c r="AQ72" s="13">
        <f t="shared" si="15"/>
        <v>0</v>
      </c>
      <c r="AR72" s="13">
        <f t="shared" si="15"/>
        <v>0</v>
      </c>
      <c r="AS72" s="13">
        <f t="shared" si="15"/>
        <v>0</v>
      </c>
      <c r="AT72" s="13">
        <f t="shared" si="15"/>
        <v>0</v>
      </c>
      <c r="AU72" s="13">
        <f t="shared" si="15"/>
        <v>0</v>
      </c>
      <c r="AV72" s="13">
        <f t="shared" si="15"/>
        <v>0</v>
      </c>
      <c r="AW72" s="13">
        <f t="shared" si="15"/>
        <v>0</v>
      </c>
      <c r="AX72" s="13">
        <f t="shared" si="15"/>
        <v>0</v>
      </c>
      <c r="AY72" s="13">
        <f t="shared" si="15"/>
        <v>0</v>
      </c>
      <c r="AZ72" s="13">
        <f t="shared" si="15"/>
        <v>0</v>
      </c>
      <c r="BA72" s="13">
        <f t="shared" si="15"/>
        <v>0</v>
      </c>
      <c r="BB72" s="13">
        <f t="shared" si="15"/>
        <v>0</v>
      </c>
      <c r="BC72" s="13">
        <f t="shared" si="15"/>
        <v>0</v>
      </c>
      <c r="BD72" s="13">
        <f t="shared" si="15"/>
        <v>0</v>
      </c>
      <c r="BE72" s="13">
        <f t="shared" si="15"/>
        <v>0</v>
      </c>
      <c r="BF72" s="13">
        <f t="shared" si="15"/>
        <v>0</v>
      </c>
      <c r="BG72" s="13">
        <f t="shared" si="15"/>
        <v>0</v>
      </c>
      <c r="BH72" s="13">
        <f t="shared" si="15"/>
        <v>0</v>
      </c>
      <c r="BI72" s="13">
        <f t="shared" si="15"/>
        <v>0</v>
      </c>
      <c r="BJ72" s="13">
        <f t="shared" si="15"/>
        <v>0</v>
      </c>
      <c r="BK72" s="13">
        <f t="shared" si="15"/>
        <v>0</v>
      </c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</row>
    <row r="73" spans="1:75" hidden="1" x14ac:dyDescent="0.3">
      <c r="A73" s="104" t="str">
        <f t="shared" si="13"/>
        <v xml:space="preserve">Pago de intereses por el crédito </v>
      </c>
      <c r="B73" s="105"/>
      <c r="C73" s="12"/>
      <c r="D73" s="13">
        <f>C92*$B$35</f>
        <v>0</v>
      </c>
      <c r="E73" s="13">
        <f t="shared" ref="E73:BK73" si="16">D92*$B$35</f>
        <v>0</v>
      </c>
      <c r="F73" s="13">
        <f t="shared" si="16"/>
        <v>0</v>
      </c>
      <c r="G73" s="13">
        <f t="shared" si="16"/>
        <v>0</v>
      </c>
      <c r="H73" s="13">
        <f t="shared" si="16"/>
        <v>0</v>
      </c>
      <c r="I73" s="13">
        <f t="shared" si="16"/>
        <v>0</v>
      </c>
      <c r="J73" s="13">
        <f t="shared" si="16"/>
        <v>0</v>
      </c>
      <c r="K73" s="13">
        <f t="shared" si="16"/>
        <v>0</v>
      </c>
      <c r="L73" s="13">
        <f t="shared" si="16"/>
        <v>0</v>
      </c>
      <c r="M73" s="13">
        <f t="shared" si="16"/>
        <v>0</v>
      </c>
      <c r="N73" s="13">
        <f t="shared" si="16"/>
        <v>0</v>
      </c>
      <c r="O73" s="13">
        <f t="shared" si="16"/>
        <v>0</v>
      </c>
      <c r="P73" s="13">
        <f t="shared" si="16"/>
        <v>0</v>
      </c>
      <c r="Q73" s="13">
        <f t="shared" si="16"/>
        <v>0</v>
      </c>
      <c r="R73" s="13">
        <f t="shared" si="16"/>
        <v>0</v>
      </c>
      <c r="S73" s="13">
        <f t="shared" si="16"/>
        <v>0</v>
      </c>
      <c r="T73" s="13">
        <f t="shared" si="16"/>
        <v>0</v>
      </c>
      <c r="U73" s="13">
        <f t="shared" si="16"/>
        <v>0</v>
      </c>
      <c r="V73" s="13">
        <f t="shared" si="16"/>
        <v>0</v>
      </c>
      <c r="W73" s="13">
        <f t="shared" si="16"/>
        <v>0</v>
      </c>
      <c r="X73" s="13">
        <f t="shared" si="16"/>
        <v>0</v>
      </c>
      <c r="Y73" s="13">
        <f t="shared" si="16"/>
        <v>0</v>
      </c>
      <c r="Z73" s="13">
        <f t="shared" si="16"/>
        <v>0</v>
      </c>
      <c r="AA73" s="13">
        <f t="shared" si="16"/>
        <v>0</v>
      </c>
      <c r="AB73" s="13">
        <f t="shared" si="16"/>
        <v>0</v>
      </c>
      <c r="AC73" s="13">
        <f t="shared" si="16"/>
        <v>0</v>
      </c>
      <c r="AD73" s="13">
        <f t="shared" si="16"/>
        <v>0</v>
      </c>
      <c r="AE73" s="13">
        <f t="shared" si="16"/>
        <v>0</v>
      </c>
      <c r="AF73" s="13">
        <f t="shared" si="16"/>
        <v>0</v>
      </c>
      <c r="AG73" s="13">
        <f t="shared" si="16"/>
        <v>0</v>
      </c>
      <c r="AH73" s="13">
        <f t="shared" si="16"/>
        <v>0</v>
      </c>
      <c r="AI73" s="13">
        <f t="shared" si="16"/>
        <v>0</v>
      </c>
      <c r="AJ73" s="13">
        <f t="shared" si="16"/>
        <v>0</v>
      </c>
      <c r="AK73" s="13">
        <f t="shared" si="16"/>
        <v>0</v>
      </c>
      <c r="AL73" s="13">
        <f t="shared" si="16"/>
        <v>0</v>
      </c>
      <c r="AM73" s="13">
        <f t="shared" si="16"/>
        <v>0</v>
      </c>
      <c r="AN73" s="13">
        <f t="shared" si="16"/>
        <v>0</v>
      </c>
      <c r="AO73" s="13">
        <f t="shared" si="16"/>
        <v>0</v>
      </c>
      <c r="AP73" s="13">
        <f t="shared" si="16"/>
        <v>0</v>
      </c>
      <c r="AQ73" s="13">
        <f t="shared" si="16"/>
        <v>0</v>
      </c>
      <c r="AR73" s="13">
        <f t="shared" si="16"/>
        <v>0</v>
      </c>
      <c r="AS73" s="13">
        <f t="shared" si="16"/>
        <v>0</v>
      </c>
      <c r="AT73" s="13">
        <f t="shared" si="16"/>
        <v>0</v>
      </c>
      <c r="AU73" s="13">
        <f t="shared" si="16"/>
        <v>0</v>
      </c>
      <c r="AV73" s="13">
        <f t="shared" si="16"/>
        <v>0</v>
      </c>
      <c r="AW73" s="13">
        <f t="shared" si="16"/>
        <v>0</v>
      </c>
      <c r="AX73" s="13">
        <f t="shared" si="16"/>
        <v>0</v>
      </c>
      <c r="AY73" s="13">
        <f t="shared" si="16"/>
        <v>0</v>
      </c>
      <c r="AZ73" s="13">
        <f t="shared" si="16"/>
        <v>0</v>
      </c>
      <c r="BA73" s="13">
        <f t="shared" si="16"/>
        <v>0</v>
      </c>
      <c r="BB73" s="13">
        <f t="shared" si="16"/>
        <v>0</v>
      </c>
      <c r="BC73" s="13">
        <f t="shared" si="16"/>
        <v>0</v>
      </c>
      <c r="BD73" s="13">
        <f t="shared" si="16"/>
        <v>0</v>
      </c>
      <c r="BE73" s="13">
        <f t="shared" si="16"/>
        <v>0</v>
      </c>
      <c r="BF73" s="13">
        <f t="shared" si="16"/>
        <v>0</v>
      </c>
      <c r="BG73" s="13">
        <f t="shared" si="16"/>
        <v>0</v>
      </c>
      <c r="BH73" s="13">
        <f t="shared" si="16"/>
        <v>0</v>
      </c>
      <c r="BI73" s="13">
        <f t="shared" si="16"/>
        <v>0</v>
      </c>
      <c r="BJ73" s="13">
        <f t="shared" si="16"/>
        <v>0</v>
      </c>
      <c r="BK73" s="13">
        <f t="shared" si="16"/>
        <v>0</v>
      </c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</row>
    <row r="74" spans="1:75" hidden="1" x14ac:dyDescent="0.3">
      <c r="A74" s="104" t="str">
        <f t="shared" si="13"/>
        <v xml:space="preserve">Pago de intereses por el crédito </v>
      </c>
      <c r="B74" s="105"/>
      <c r="C74" s="12"/>
      <c r="D74" s="13">
        <f>C93*$B$36</f>
        <v>0</v>
      </c>
      <c r="E74" s="13">
        <f t="shared" ref="E74:BK74" si="17">D93*$B$36</f>
        <v>0</v>
      </c>
      <c r="F74" s="13">
        <f t="shared" si="17"/>
        <v>0</v>
      </c>
      <c r="G74" s="13">
        <f t="shared" si="17"/>
        <v>0</v>
      </c>
      <c r="H74" s="13">
        <f t="shared" si="17"/>
        <v>0</v>
      </c>
      <c r="I74" s="13">
        <f t="shared" si="17"/>
        <v>0</v>
      </c>
      <c r="J74" s="13">
        <f t="shared" si="17"/>
        <v>0</v>
      </c>
      <c r="K74" s="13">
        <f t="shared" si="17"/>
        <v>0</v>
      </c>
      <c r="L74" s="13">
        <f t="shared" si="17"/>
        <v>0</v>
      </c>
      <c r="M74" s="13">
        <f t="shared" si="17"/>
        <v>0</v>
      </c>
      <c r="N74" s="13">
        <f t="shared" si="17"/>
        <v>0</v>
      </c>
      <c r="O74" s="13">
        <f t="shared" si="17"/>
        <v>0</v>
      </c>
      <c r="P74" s="13">
        <f t="shared" si="17"/>
        <v>0</v>
      </c>
      <c r="Q74" s="13">
        <f t="shared" si="17"/>
        <v>0</v>
      </c>
      <c r="R74" s="13">
        <f t="shared" si="17"/>
        <v>0</v>
      </c>
      <c r="S74" s="13">
        <f t="shared" si="17"/>
        <v>0</v>
      </c>
      <c r="T74" s="13">
        <f t="shared" si="17"/>
        <v>0</v>
      </c>
      <c r="U74" s="13">
        <f t="shared" si="17"/>
        <v>0</v>
      </c>
      <c r="V74" s="13">
        <f t="shared" si="17"/>
        <v>0</v>
      </c>
      <c r="W74" s="13">
        <f t="shared" si="17"/>
        <v>0</v>
      </c>
      <c r="X74" s="13">
        <f t="shared" si="17"/>
        <v>0</v>
      </c>
      <c r="Y74" s="13">
        <f t="shared" si="17"/>
        <v>0</v>
      </c>
      <c r="Z74" s="13">
        <f t="shared" si="17"/>
        <v>0</v>
      </c>
      <c r="AA74" s="13">
        <f t="shared" si="17"/>
        <v>0</v>
      </c>
      <c r="AB74" s="13">
        <f t="shared" si="17"/>
        <v>0</v>
      </c>
      <c r="AC74" s="13">
        <f t="shared" si="17"/>
        <v>0</v>
      </c>
      <c r="AD74" s="13">
        <f t="shared" si="17"/>
        <v>0</v>
      </c>
      <c r="AE74" s="13">
        <f t="shared" si="17"/>
        <v>0</v>
      </c>
      <c r="AF74" s="13">
        <f t="shared" si="17"/>
        <v>0</v>
      </c>
      <c r="AG74" s="13">
        <f t="shared" si="17"/>
        <v>0</v>
      </c>
      <c r="AH74" s="13">
        <f t="shared" si="17"/>
        <v>0</v>
      </c>
      <c r="AI74" s="13">
        <f t="shared" si="17"/>
        <v>0</v>
      </c>
      <c r="AJ74" s="13">
        <f t="shared" si="17"/>
        <v>0</v>
      </c>
      <c r="AK74" s="13">
        <f t="shared" si="17"/>
        <v>0</v>
      </c>
      <c r="AL74" s="13">
        <f t="shared" si="17"/>
        <v>0</v>
      </c>
      <c r="AM74" s="13">
        <f t="shared" si="17"/>
        <v>0</v>
      </c>
      <c r="AN74" s="13">
        <f t="shared" si="17"/>
        <v>0</v>
      </c>
      <c r="AO74" s="13">
        <f t="shared" si="17"/>
        <v>0</v>
      </c>
      <c r="AP74" s="13">
        <f t="shared" si="17"/>
        <v>0</v>
      </c>
      <c r="AQ74" s="13">
        <f t="shared" si="17"/>
        <v>0</v>
      </c>
      <c r="AR74" s="13">
        <f t="shared" si="17"/>
        <v>0</v>
      </c>
      <c r="AS74" s="13">
        <f t="shared" si="17"/>
        <v>0</v>
      </c>
      <c r="AT74" s="13">
        <f t="shared" si="17"/>
        <v>0</v>
      </c>
      <c r="AU74" s="13">
        <f t="shared" si="17"/>
        <v>0</v>
      </c>
      <c r="AV74" s="13">
        <f t="shared" si="17"/>
        <v>0</v>
      </c>
      <c r="AW74" s="13">
        <f t="shared" si="17"/>
        <v>0</v>
      </c>
      <c r="AX74" s="13">
        <f t="shared" si="17"/>
        <v>0</v>
      </c>
      <c r="AY74" s="13">
        <f t="shared" si="17"/>
        <v>0</v>
      </c>
      <c r="AZ74" s="13">
        <f t="shared" si="17"/>
        <v>0</v>
      </c>
      <c r="BA74" s="13">
        <f t="shared" si="17"/>
        <v>0</v>
      </c>
      <c r="BB74" s="13">
        <f t="shared" si="17"/>
        <v>0</v>
      </c>
      <c r="BC74" s="13">
        <f t="shared" si="17"/>
        <v>0</v>
      </c>
      <c r="BD74" s="13">
        <f t="shared" si="17"/>
        <v>0</v>
      </c>
      <c r="BE74" s="13">
        <f t="shared" si="17"/>
        <v>0</v>
      </c>
      <c r="BF74" s="13">
        <f t="shared" si="17"/>
        <v>0</v>
      </c>
      <c r="BG74" s="13">
        <f t="shared" si="17"/>
        <v>0</v>
      </c>
      <c r="BH74" s="13">
        <f t="shared" si="17"/>
        <v>0</v>
      </c>
      <c r="BI74" s="13">
        <f t="shared" si="17"/>
        <v>0</v>
      </c>
      <c r="BJ74" s="13">
        <f t="shared" si="17"/>
        <v>0</v>
      </c>
      <c r="BK74" s="13">
        <f t="shared" si="17"/>
        <v>0</v>
      </c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</row>
    <row r="75" spans="1:75" hidden="1" x14ac:dyDescent="0.3">
      <c r="A75" s="104" t="str">
        <f t="shared" si="13"/>
        <v xml:space="preserve">Pago de intereses por el crédito </v>
      </c>
      <c r="B75" s="105"/>
      <c r="C75" s="12"/>
      <c r="D75" s="13">
        <f>C94*$B$37</f>
        <v>0</v>
      </c>
      <c r="E75" s="13">
        <f t="shared" ref="E75:BK75" si="18">D94*$B$37</f>
        <v>0</v>
      </c>
      <c r="F75" s="13">
        <f t="shared" si="18"/>
        <v>0</v>
      </c>
      <c r="G75" s="13">
        <f t="shared" si="18"/>
        <v>0</v>
      </c>
      <c r="H75" s="13">
        <f t="shared" si="18"/>
        <v>0</v>
      </c>
      <c r="I75" s="13">
        <f t="shared" si="18"/>
        <v>0</v>
      </c>
      <c r="J75" s="13">
        <f t="shared" si="18"/>
        <v>0</v>
      </c>
      <c r="K75" s="13">
        <f t="shared" si="18"/>
        <v>0</v>
      </c>
      <c r="L75" s="13">
        <f t="shared" si="18"/>
        <v>0</v>
      </c>
      <c r="M75" s="13">
        <f t="shared" si="18"/>
        <v>0</v>
      </c>
      <c r="N75" s="13">
        <f t="shared" si="18"/>
        <v>0</v>
      </c>
      <c r="O75" s="13">
        <f t="shared" si="18"/>
        <v>0</v>
      </c>
      <c r="P75" s="13">
        <f t="shared" si="18"/>
        <v>0</v>
      </c>
      <c r="Q75" s="13">
        <f t="shared" si="18"/>
        <v>0</v>
      </c>
      <c r="R75" s="13">
        <f t="shared" si="18"/>
        <v>0</v>
      </c>
      <c r="S75" s="13">
        <f t="shared" si="18"/>
        <v>0</v>
      </c>
      <c r="T75" s="13">
        <f t="shared" si="18"/>
        <v>0</v>
      </c>
      <c r="U75" s="13">
        <f t="shared" si="18"/>
        <v>0</v>
      </c>
      <c r="V75" s="13">
        <f t="shared" si="18"/>
        <v>0</v>
      </c>
      <c r="W75" s="13">
        <f t="shared" si="18"/>
        <v>0</v>
      </c>
      <c r="X75" s="13">
        <f t="shared" si="18"/>
        <v>0</v>
      </c>
      <c r="Y75" s="13">
        <f t="shared" si="18"/>
        <v>0</v>
      </c>
      <c r="Z75" s="13">
        <f t="shared" si="18"/>
        <v>0</v>
      </c>
      <c r="AA75" s="13">
        <f t="shared" si="18"/>
        <v>0</v>
      </c>
      <c r="AB75" s="13">
        <f t="shared" si="18"/>
        <v>0</v>
      </c>
      <c r="AC75" s="13">
        <f t="shared" si="18"/>
        <v>0</v>
      </c>
      <c r="AD75" s="13">
        <f t="shared" si="18"/>
        <v>0</v>
      </c>
      <c r="AE75" s="13">
        <f t="shared" si="18"/>
        <v>0</v>
      </c>
      <c r="AF75" s="13">
        <f t="shared" si="18"/>
        <v>0</v>
      </c>
      <c r="AG75" s="13">
        <f t="shared" si="18"/>
        <v>0</v>
      </c>
      <c r="AH75" s="13">
        <f t="shared" si="18"/>
        <v>0</v>
      </c>
      <c r="AI75" s="13">
        <f t="shared" si="18"/>
        <v>0</v>
      </c>
      <c r="AJ75" s="13">
        <f t="shared" si="18"/>
        <v>0</v>
      </c>
      <c r="AK75" s="13">
        <f t="shared" si="18"/>
        <v>0</v>
      </c>
      <c r="AL75" s="13">
        <f t="shared" si="18"/>
        <v>0</v>
      </c>
      <c r="AM75" s="13">
        <f t="shared" si="18"/>
        <v>0</v>
      </c>
      <c r="AN75" s="13">
        <f t="shared" si="18"/>
        <v>0</v>
      </c>
      <c r="AO75" s="13">
        <f t="shared" si="18"/>
        <v>0</v>
      </c>
      <c r="AP75" s="13">
        <f t="shared" si="18"/>
        <v>0</v>
      </c>
      <c r="AQ75" s="13">
        <f t="shared" si="18"/>
        <v>0</v>
      </c>
      <c r="AR75" s="13">
        <f t="shared" si="18"/>
        <v>0</v>
      </c>
      <c r="AS75" s="13">
        <f t="shared" si="18"/>
        <v>0</v>
      </c>
      <c r="AT75" s="13">
        <f t="shared" si="18"/>
        <v>0</v>
      </c>
      <c r="AU75" s="13">
        <f t="shared" si="18"/>
        <v>0</v>
      </c>
      <c r="AV75" s="13">
        <f t="shared" si="18"/>
        <v>0</v>
      </c>
      <c r="AW75" s="13">
        <f t="shared" si="18"/>
        <v>0</v>
      </c>
      <c r="AX75" s="13">
        <f t="shared" si="18"/>
        <v>0</v>
      </c>
      <c r="AY75" s="13">
        <f t="shared" si="18"/>
        <v>0</v>
      </c>
      <c r="AZ75" s="13">
        <f t="shared" si="18"/>
        <v>0</v>
      </c>
      <c r="BA75" s="13">
        <f t="shared" si="18"/>
        <v>0</v>
      </c>
      <c r="BB75" s="13">
        <f t="shared" si="18"/>
        <v>0</v>
      </c>
      <c r="BC75" s="13">
        <f t="shared" si="18"/>
        <v>0</v>
      </c>
      <c r="BD75" s="13">
        <f t="shared" si="18"/>
        <v>0</v>
      </c>
      <c r="BE75" s="13">
        <f t="shared" si="18"/>
        <v>0</v>
      </c>
      <c r="BF75" s="13">
        <f t="shared" si="18"/>
        <v>0</v>
      </c>
      <c r="BG75" s="13">
        <f t="shared" si="18"/>
        <v>0</v>
      </c>
      <c r="BH75" s="13">
        <f t="shared" si="18"/>
        <v>0</v>
      </c>
      <c r="BI75" s="13">
        <f t="shared" si="18"/>
        <v>0</v>
      </c>
      <c r="BJ75" s="13">
        <f t="shared" si="18"/>
        <v>0</v>
      </c>
      <c r="BK75" s="13">
        <f t="shared" si="18"/>
        <v>0</v>
      </c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</row>
    <row r="76" spans="1:75" hidden="1" x14ac:dyDescent="0.3">
      <c r="A76" s="104" t="str">
        <f t="shared" si="13"/>
        <v xml:space="preserve">Pago de intereses por el crédito </v>
      </c>
      <c r="B76" s="105"/>
      <c r="C76" s="12"/>
      <c r="D76" s="13">
        <f>C95*$B$38</f>
        <v>0</v>
      </c>
      <c r="E76" s="13">
        <f t="shared" ref="E76:BK76" si="19">D95*$B$38</f>
        <v>0</v>
      </c>
      <c r="F76" s="13">
        <f t="shared" si="19"/>
        <v>0</v>
      </c>
      <c r="G76" s="13">
        <f t="shared" si="19"/>
        <v>0</v>
      </c>
      <c r="H76" s="13">
        <f t="shared" si="19"/>
        <v>0</v>
      </c>
      <c r="I76" s="13">
        <f t="shared" si="19"/>
        <v>0</v>
      </c>
      <c r="J76" s="13">
        <f t="shared" si="19"/>
        <v>0</v>
      </c>
      <c r="K76" s="13">
        <f t="shared" si="19"/>
        <v>0</v>
      </c>
      <c r="L76" s="13">
        <f t="shared" si="19"/>
        <v>0</v>
      </c>
      <c r="M76" s="13">
        <f t="shared" si="19"/>
        <v>0</v>
      </c>
      <c r="N76" s="13">
        <f t="shared" si="19"/>
        <v>0</v>
      </c>
      <c r="O76" s="13">
        <f t="shared" si="19"/>
        <v>0</v>
      </c>
      <c r="P76" s="13">
        <f t="shared" si="19"/>
        <v>0</v>
      </c>
      <c r="Q76" s="13">
        <f t="shared" si="19"/>
        <v>0</v>
      </c>
      <c r="R76" s="13">
        <f t="shared" si="19"/>
        <v>0</v>
      </c>
      <c r="S76" s="13">
        <f t="shared" si="19"/>
        <v>0</v>
      </c>
      <c r="T76" s="13">
        <f t="shared" si="19"/>
        <v>0</v>
      </c>
      <c r="U76" s="13">
        <f t="shared" si="19"/>
        <v>0</v>
      </c>
      <c r="V76" s="13">
        <f t="shared" si="19"/>
        <v>0</v>
      </c>
      <c r="W76" s="13">
        <f t="shared" si="19"/>
        <v>0</v>
      </c>
      <c r="X76" s="13">
        <f t="shared" si="19"/>
        <v>0</v>
      </c>
      <c r="Y76" s="13">
        <f t="shared" si="19"/>
        <v>0</v>
      </c>
      <c r="Z76" s="13">
        <f t="shared" si="19"/>
        <v>0</v>
      </c>
      <c r="AA76" s="13">
        <f t="shared" si="19"/>
        <v>0</v>
      </c>
      <c r="AB76" s="13">
        <f t="shared" si="19"/>
        <v>0</v>
      </c>
      <c r="AC76" s="13">
        <f t="shared" si="19"/>
        <v>0</v>
      </c>
      <c r="AD76" s="13">
        <f t="shared" si="19"/>
        <v>0</v>
      </c>
      <c r="AE76" s="13">
        <f t="shared" si="19"/>
        <v>0</v>
      </c>
      <c r="AF76" s="13">
        <f t="shared" si="19"/>
        <v>0</v>
      </c>
      <c r="AG76" s="13">
        <f t="shared" si="19"/>
        <v>0</v>
      </c>
      <c r="AH76" s="13">
        <f t="shared" si="19"/>
        <v>0</v>
      </c>
      <c r="AI76" s="13">
        <f t="shared" si="19"/>
        <v>0</v>
      </c>
      <c r="AJ76" s="13">
        <f t="shared" si="19"/>
        <v>0</v>
      </c>
      <c r="AK76" s="13">
        <f t="shared" si="19"/>
        <v>0</v>
      </c>
      <c r="AL76" s="13">
        <f t="shared" si="19"/>
        <v>0</v>
      </c>
      <c r="AM76" s="13">
        <f t="shared" si="19"/>
        <v>0</v>
      </c>
      <c r="AN76" s="13">
        <f t="shared" si="19"/>
        <v>0</v>
      </c>
      <c r="AO76" s="13">
        <f t="shared" si="19"/>
        <v>0</v>
      </c>
      <c r="AP76" s="13">
        <f t="shared" si="19"/>
        <v>0</v>
      </c>
      <c r="AQ76" s="13">
        <f t="shared" si="19"/>
        <v>0</v>
      </c>
      <c r="AR76" s="13">
        <f t="shared" si="19"/>
        <v>0</v>
      </c>
      <c r="AS76" s="13">
        <f t="shared" si="19"/>
        <v>0</v>
      </c>
      <c r="AT76" s="13">
        <f t="shared" si="19"/>
        <v>0</v>
      </c>
      <c r="AU76" s="13">
        <f t="shared" si="19"/>
        <v>0</v>
      </c>
      <c r="AV76" s="13">
        <f t="shared" si="19"/>
        <v>0</v>
      </c>
      <c r="AW76" s="13">
        <f t="shared" si="19"/>
        <v>0</v>
      </c>
      <c r="AX76" s="13">
        <f t="shared" si="19"/>
        <v>0</v>
      </c>
      <c r="AY76" s="13">
        <f t="shared" si="19"/>
        <v>0</v>
      </c>
      <c r="AZ76" s="13">
        <f t="shared" si="19"/>
        <v>0</v>
      </c>
      <c r="BA76" s="13">
        <f t="shared" si="19"/>
        <v>0</v>
      </c>
      <c r="BB76" s="13">
        <f t="shared" si="19"/>
        <v>0</v>
      </c>
      <c r="BC76" s="13">
        <f t="shared" si="19"/>
        <v>0</v>
      </c>
      <c r="BD76" s="13">
        <f t="shared" si="19"/>
        <v>0</v>
      </c>
      <c r="BE76" s="13">
        <f t="shared" si="19"/>
        <v>0</v>
      </c>
      <c r="BF76" s="13">
        <f t="shared" si="19"/>
        <v>0</v>
      </c>
      <c r="BG76" s="13">
        <f t="shared" si="19"/>
        <v>0</v>
      </c>
      <c r="BH76" s="13">
        <f t="shared" si="19"/>
        <v>0</v>
      </c>
      <c r="BI76" s="13">
        <f t="shared" si="19"/>
        <v>0</v>
      </c>
      <c r="BJ76" s="13">
        <f t="shared" si="19"/>
        <v>0</v>
      </c>
      <c r="BK76" s="13">
        <f t="shared" si="19"/>
        <v>0</v>
      </c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</row>
    <row r="77" spans="1:75" hidden="1" x14ac:dyDescent="0.3">
      <c r="A77" s="104" t="str">
        <f t="shared" si="13"/>
        <v xml:space="preserve">Pago de intereses por el crédito </v>
      </c>
      <c r="B77" s="105"/>
      <c r="C77" s="12"/>
      <c r="D77" s="13">
        <f>C96*$B$39</f>
        <v>0</v>
      </c>
      <c r="E77" s="13">
        <f t="shared" ref="E77:BK77" si="20">D96*$B$39</f>
        <v>0</v>
      </c>
      <c r="F77" s="13">
        <f t="shared" si="20"/>
        <v>0</v>
      </c>
      <c r="G77" s="13">
        <f t="shared" si="20"/>
        <v>0</v>
      </c>
      <c r="H77" s="13">
        <f t="shared" si="20"/>
        <v>0</v>
      </c>
      <c r="I77" s="13">
        <f t="shared" si="20"/>
        <v>0</v>
      </c>
      <c r="J77" s="13">
        <f t="shared" si="20"/>
        <v>0</v>
      </c>
      <c r="K77" s="13">
        <f t="shared" si="20"/>
        <v>0</v>
      </c>
      <c r="L77" s="13">
        <f t="shared" si="20"/>
        <v>0</v>
      </c>
      <c r="M77" s="13">
        <f t="shared" si="20"/>
        <v>0</v>
      </c>
      <c r="N77" s="13">
        <f t="shared" si="20"/>
        <v>0</v>
      </c>
      <c r="O77" s="13">
        <f t="shared" si="20"/>
        <v>0</v>
      </c>
      <c r="P77" s="13">
        <f t="shared" si="20"/>
        <v>0</v>
      </c>
      <c r="Q77" s="13">
        <f t="shared" si="20"/>
        <v>0</v>
      </c>
      <c r="R77" s="13">
        <f t="shared" si="20"/>
        <v>0</v>
      </c>
      <c r="S77" s="13">
        <f t="shared" si="20"/>
        <v>0</v>
      </c>
      <c r="T77" s="13">
        <f t="shared" si="20"/>
        <v>0</v>
      </c>
      <c r="U77" s="13">
        <f t="shared" si="20"/>
        <v>0</v>
      </c>
      <c r="V77" s="13">
        <f t="shared" si="20"/>
        <v>0</v>
      </c>
      <c r="W77" s="13">
        <f t="shared" si="20"/>
        <v>0</v>
      </c>
      <c r="X77" s="13">
        <f t="shared" si="20"/>
        <v>0</v>
      </c>
      <c r="Y77" s="13">
        <f t="shared" si="20"/>
        <v>0</v>
      </c>
      <c r="Z77" s="13">
        <f t="shared" si="20"/>
        <v>0</v>
      </c>
      <c r="AA77" s="13">
        <f t="shared" si="20"/>
        <v>0</v>
      </c>
      <c r="AB77" s="13">
        <f t="shared" si="20"/>
        <v>0</v>
      </c>
      <c r="AC77" s="13">
        <f t="shared" si="20"/>
        <v>0</v>
      </c>
      <c r="AD77" s="13">
        <f t="shared" si="20"/>
        <v>0</v>
      </c>
      <c r="AE77" s="13">
        <f t="shared" si="20"/>
        <v>0</v>
      </c>
      <c r="AF77" s="13">
        <f t="shared" si="20"/>
        <v>0</v>
      </c>
      <c r="AG77" s="13">
        <f t="shared" si="20"/>
        <v>0</v>
      </c>
      <c r="AH77" s="13">
        <f t="shared" si="20"/>
        <v>0</v>
      </c>
      <c r="AI77" s="13">
        <f t="shared" si="20"/>
        <v>0</v>
      </c>
      <c r="AJ77" s="13">
        <f t="shared" si="20"/>
        <v>0</v>
      </c>
      <c r="AK77" s="13">
        <f t="shared" si="20"/>
        <v>0</v>
      </c>
      <c r="AL77" s="13">
        <f t="shared" si="20"/>
        <v>0</v>
      </c>
      <c r="AM77" s="13">
        <f t="shared" si="20"/>
        <v>0</v>
      </c>
      <c r="AN77" s="13">
        <f t="shared" si="20"/>
        <v>0</v>
      </c>
      <c r="AO77" s="13">
        <f t="shared" si="20"/>
        <v>0</v>
      </c>
      <c r="AP77" s="13">
        <f t="shared" si="20"/>
        <v>0</v>
      </c>
      <c r="AQ77" s="13">
        <f t="shared" si="20"/>
        <v>0</v>
      </c>
      <c r="AR77" s="13">
        <f t="shared" si="20"/>
        <v>0</v>
      </c>
      <c r="AS77" s="13">
        <f t="shared" si="20"/>
        <v>0</v>
      </c>
      <c r="AT77" s="13">
        <f t="shared" si="20"/>
        <v>0</v>
      </c>
      <c r="AU77" s="13">
        <f t="shared" si="20"/>
        <v>0</v>
      </c>
      <c r="AV77" s="13">
        <f t="shared" si="20"/>
        <v>0</v>
      </c>
      <c r="AW77" s="13">
        <f t="shared" si="20"/>
        <v>0</v>
      </c>
      <c r="AX77" s="13">
        <f t="shared" si="20"/>
        <v>0</v>
      </c>
      <c r="AY77" s="13">
        <f t="shared" si="20"/>
        <v>0</v>
      </c>
      <c r="AZ77" s="13">
        <f t="shared" si="20"/>
        <v>0</v>
      </c>
      <c r="BA77" s="13">
        <f t="shared" si="20"/>
        <v>0</v>
      </c>
      <c r="BB77" s="13">
        <f t="shared" si="20"/>
        <v>0</v>
      </c>
      <c r="BC77" s="13">
        <f t="shared" si="20"/>
        <v>0</v>
      </c>
      <c r="BD77" s="13">
        <f t="shared" si="20"/>
        <v>0</v>
      </c>
      <c r="BE77" s="13">
        <f t="shared" si="20"/>
        <v>0</v>
      </c>
      <c r="BF77" s="13">
        <f t="shared" si="20"/>
        <v>0</v>
      </c>
      <c r="BG77" s="13">
        <f t="shared" si="20"/>
        <v>0</v>
      </c>
      <c r="BH77" s="13">
        <f t="shared" si="20"/>
        <v>0</v>
      </c>
      <c r="BI77" s="13">
        <f t="shared" si="20"/>
        <v>0</v>
      </c>
      <c r="BJ77" s="13">
        <f t="shared" si="20"/>
        <v>0</v>
      </c>
      <c r="BK77" s="13">
        <f t="shared" si="20"/>
        <v>0</v>
      </c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</row>
    <row r="78" spans="1:75" hidden="1" x14ac:dyDescent="0.3">
      <c r="A78" s="104" t="str">
        <f t="shared" si="13"/>
        <v xml:space="preserve">Pago de intereses por el crédito </v>
      </c>
      <c r="B78" s="105"/>
      <c r="C78" s="12"/>
      <c r="D78" s="13">
        <f>C97*$B$40</f>
        <v>0</v>
      </c>
      <c r="E78" s="13">
        <f t="shared" ref="E78:BK78" si="21">D97*$B$40</f>
        <v>0</v>
      </c>
      <c r="F78" s="13">
        <f t="shared" si="21"/>
        <v>0</v>
      </c>
      <c r="G78" s="13">
        <f t="shared" si="21"/>
        <v>0</v>
      </c>
      <c r="H78" s="13">
        <f t="shared" si="21"/>
        <v>0</v>
      </c>
      <c r="I78" s="13">
        <f t="shared" si="21"/>
        <v>0</v>
      </c>
      <c r="J78" s="13">
        <f t="shared" si="21"/>
        <v>0</v>
      </c>
      <c r="K78" s="13">
        <f t="shared" si="21"/>
        <v>0</v>
      </c>
      <c r="L78" s="13">
        <f t="shared" si="21"/>
        <v>0</v>
      </c>
      <c r="M78" s="13">
        <f t="shared" si="21"/>
        <v>0</v>
      </c>
      <c r="N78" s="13">
        <f t="shared" si="21"/>
        <v>0</v>
      </c>
      <c r="O78" s="13">
        <f t="shared" si="21"/>
        <v>0</v>
      </c>
      <c r="P78" s="13">
        <f t="shared" si="21"/>
        <v>0</v>
      </c>
      <c r="Q78" s="13">
        <f t="shared" si="21"/>
        <v>0</v>
      </c>
      <c r="R78" s="13">
        <f t="shared" si="21"/>
        <v>0</v>
      </c>
      <c r="S78" s="13">
        <f t="shared" si="21"/>
        <v>0</v>
      </c>
      <c r="T78" s="13">
        <f t="shared" si="21"/>
        <v>0</v>
      </c>
      <c r="U78" s="13">
        <f t="shared" si="21"/>
        <v>0</v>
      </c>
      <c r="V78" s="13">
        <f t="shared" si="21"/>
        <v>0</v>
      </c>
      <c r="W78" s="13">
        <f t="shared" si="21"/>
        <v>0</v>
      </c>
      <c r="X78" s="13">
        <f t="shared" si="21"/>
        <v>0</v>
      </c>
      <c r="Y78" s="13">
        <f t="shared" si="21"/>
        <v>0</v>
      </c>
      <c r="Z78" s="13">
        <f t="shared" si="21"/>
        <v>0</v>
      </c>
      <c r="AA78" s="13">
        <f t="shared" si="21"/>
        <v>0</v>
      </c>
      <c r="AB78" s="13">
        <f t="shared" si="21"/>
        <v>0</v>
      </c>
      <c r="AC78" s="13">
        <f t="shared" si="21"/>
        <v>0</v>
      </c>
      <c r="AD78" s="13">
        <f t="shared" si="21"/>
        <v>0</v>
      </c>
      <c r="AE78" s="13">
        <f t="shared" si="21"/>
        <v>0</v>
      </c>
      <c r="AF78" s="13">
        <f t="shared" si="21"/>
        <v>0</v>
      </c>
      <c r="AG78" s="13">
        <f t="shared" si="21"/>
        <v>0</v>
      </c>
      <c r="AH78" s="13">
        <f t="shared" si="21"/>
        <v>0</v>
      </c>
      <c r="AI78" s="13">
        <f t="shared" si="21"/>
        <v>0</v>
      </c>
      <c r="AJ78" s="13">
        <f t="shared" si="21"/>
        <v>0</v>
      </c>
      <c r="AK78" s="13">
        <f t="shared" si="21"/>
        <v>0</v>
      </c>
      <c r="AL78" s="13">
        <f t="shared" si="21"/>
        <v>0</v>
      </c>
      <c r="AM78" s="13">
        <f t="shared" si="21"/>
        <v>0</v>
      </c>
      <c r="AN78" s="13">
        <f t="shared" si="21"/>
        <v>0</v>
      </c>
      <c r="AO78" s="13">
        <f t="shared" si="21"/>
        <v>0</v>
      </c>
      <c r="AP78" s="13">
        <f t="shared" si="21"/>
        <v>0</v>
      </c>
      <c r="AQ78" s="13">
        <f t="shared" si="21"/>
        <v>0</v>
      </c>
      <c r="AR78" s="13">
        <f t="shared" si="21"/>
        <v>0</v>
      </c>
      <c r="AS78" s="13">
        <f t="shared" si="21"/>
        <v>0</v>
      </c>
      <c r="AT78" s="13">
        <f t="shared" si="21"/>
        <v>0</v>
      </c>
      <c r="AU78" s="13">
        <f t="shared" si="21"/>
        <v>0</v>
      </c>
      <c r="AV78" s="13">
        <f t="shared" si="21"/>
        <v>0</v>
      </c>
      <c r="AW78" s="13">
        <f t="shared" si="21"/>
        <v>0</v>
      </c>
      <c r="AX78" s="13">
        <f t="shared" si="21"/>
        <v>0</v>
      </c>
      <c r="AY78" s="13">
        <f t="shared" si="21"/>
        <v>0</v>
      </c>
      <c r="AZ78" s="13">
        <f t="shared" si="21"/>
        <v>0</v>
      </c>
      <c r="BA78" s="13">
        <f t="shared" si="21"/>
        <v>0</v>
      </c>
      <c r="BB78" s="13">
        <f t="shared" si="21"/>
        <v>0</v>
      </c>
      <c r="BC78" s="13">
        <f t="shared" si="21"/>
        <v>0</v>
      </c>
      <c r="BD78" s="13">
        <f t="shared" si="21"/>
        <v>0</v>
      </c>
      <c r="BE78" s="13">
        <f t="shared" si="21"/>
        <v>0</v>
      </c>
      <c r="BF78" s="13">
        <f t="shared" si="21"/>
        <v>0</v>
      </c>
      <c r="BG78" s="13">
        <f t="shared" si="21"/>
        <v>0</v>
      </c>
      <c r="BH78" s="13">
        <f t="shared" si="21"/>
        <v>0</v>
      </c>
      <c r="BI78" s="13">
        <f t="shared" si="21"/>
        <v>0</v>
      </c>
      <c r="BJ78" s="13">
        <f t="shared" si="21"/>
        <v>0</v>
      </c>
      <c r="BK78" s="13">
        <f t="shared" si="21"/>
        <v>0</v>
      </c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</row>
    <row r="79" spans="1:75" hidden="1" x14ac:dyDescent="0.3">
      <c r="A79" s="104" t="str">
        <f t="shared" si="13"/>
        <v xml:space="preserve">Pago de intereses por el crédito </v>
      </c>
      <c r="B79" s="105"/>
      <c r="C79" s="12"/>
      <c r="D79" s="13">
        <f>C98*$B$41</f>
        <v>0</v>
      </c>
      <c r="E79" s="13">
        <f t="shared" ref="E79:BK79" si="22">D98*$B$41</f>
        <v>0</v>
      </c>
      <c r="F79" s="13">
        <f t="shared" si="22"/>
        <v>0</v>
      </c>
      <c r="G79" s="13">
        <f t="shared" si="22"/>
        <v>0</v>
      </c>
      <c r="H79" s="13">
        <f t="shared" si="22"/>
        <v>0</v>
      </c>
      <c r="I79" s="13">
        <f t="shared" si="22"/>
        <v>0</v>
      </c>
      <c r="J79" s="13">
        <f t="shared" si="22"/>
        <v>0</v>
      </c>
      <c r="K79" s="13">
        <f t="shared" si="22"/>
        <v>0</v>
      </c>
      <c r="L79" s="13">
        <f t="shared" si="22"/>
        <v>0</v>
      </c>
      <c r="M79" s="13">
        <f t="shared" si="22"/>
        <v>0</v>
      </c>
      <c r="N79" s="13">
        <f t="shared" si="22"/>
        <v>0</v>
      </c>
      <c r="O79" s="13">
        <f t="shared" si="22"/>
        <v>0</v>
      </c>
      <c r="P79" s="13">
        <f t="shared" si="22"/>
        <v>0</v>
      </c>
      <c r="Q79" s="13">
        <f t="shared" si="22"/>
        <v>0</v>
      </c>
      <c r="R79" s="13">
        <f t="shared" si="22"/>
        <v>0</v>
      </c>
      <c r="S79" s="13">
        <f t="shared" si="22"/>
        <v>0</v>
      </c>
      <c r="T79" s="13">
        <f t="shared" si="22"/>
        <v>0</v>
      </c>
      <c r="U79" s="13">
        <f t="shared" si="22"/>
        <v>0</v>
      </c>
      <c r="V79" s="13">
        <f t="shared" si="22"/>
        <v>0</v>
      </c>
      <c r="W79" s="13">
        <f t="shared" si="22"/>
        <v>0</v>
      </c>
      <c r="X79" s="13">
        <f t="shared" si="22"/>
        <v>0</v>
      </c>
      <c r="Y79" s="13">
        <f t="shared" si="22"/>
        <v>0</v>
      </c>
      <c r="Z79" s="13">
        <f t="shared" si="22"/>
        <v>0</v>
      </c>
      <c r="AA79" s="13">
        <f t="shared" si="22"/>
        <v>0</v>
      </c>
      <c r="AB79" s="13">
        <f t="shared" si="22"/>
        <v>0</v>
      </c>
      <c r="AC79" s="13">
        <f t="shared" si="22"/>
        <v>0</v>
      </c>
      <c r="AD79" s="13">
        <f t="shared" si="22"/>
        <v>0</v>
      </c>
      <c r="AE79" s="13">
        <f t="shared" si="22"/>
        <v>0</v>
      </c>
      <c r="AF79" s="13">
        <f t="shared" si="22"/>
        <v>0</v>
      </c>
      <c r="AG79" s="13">
        <f t="shared" si="22"/>
        <v>0</v>
      </c>
      <c r="AH79" s="13">
        <f t="shared" si="22"/>
        <v>0</v>
      </c>
      <c r="AI79" s="13">
        <f t="shared" si="22"/>
        <v>0</v>
      </c>
      <c r="AJ79" s="13">
        <f t="shared" si="22"/>
        <v>0</v>
      </c>
      <c r="AK79" s="13">
        <f t="shared" si="22"/>
        <v>0</v>
      </c>
      <c r="AL79" s="13">
        <f t="shared" si="22"/>
        <v>0</v>
      </c>
      <c r="AM79" s="13">
        <f t="shared" si="22"/>
        <v>0</v>
      </c>
      <c r="AN79" s="13">
        <f t="shared" si="22"/>
        <v>0</v>
      </c>
      <c r="AO79" s="13">
        <f t="shared" si="22"/>
        <v>0</v>
      </c>
      <c r="AP79" s="13">
        <f t="shared" si="22"/>
        <v>0</v>
      </c>
      <c r="AQ79" s="13">
        <f t="shared" si="22"/>
        <v>0</v>
      </c>
      <c r="AR79" s="13">
        <f t="shared" si="22"/>
        <v>0</v>
      </c>
      <c r="AS79" s="13">
        <f t="shared" si="22"/>
        <v>0</v>
      </c>
      <c r="AT79" s="13">
        <f t="shared" si="22"/>
        <v>0</v>
      </c>
      <c r="AU79" s="13">
        <f t="shared" si="22"/>
        <v>0</v>
      </c>
      <c r="AV79" s="13">
        <f t="shared" si="22"/>
        <v>0</v>
      </c>
      <c r="AW79" s="13">
        <f t="shared" si="22"/>
        <v>0</v>
      </c>
      <c r="AX79" s="13">
        <f t="shared" si="22"/>
        <v>0</v>
      </c>
      <c r="AY79" s="13">
        <f t="shared" si="22"/>
        <v>0</v>
      </c>
      <c r="AZ79" s="13">
        <f t="shared" si="22"/>
        <v>0</v>
      </c>
      <c r="BA79" s="13">
        <f t="shared" si="22"/>
        <v>0</v>
      </c>
      <c r="BB79" s="13">
        <f t="shared" si="22"/>
        <v>0</v>
      </c>
      <c r="BC79" s="13">
        <f t="shared" si="22"/>
        <v>0</v>
      </c>
      <c r="BD79" s="13">
        <f t="shared" si="22"/>
        <v>0</v>
      </c>
      <c r="BE79" s="13">
        <f t="shared" si="22"/>
        <v>0</v>
      </c>
      <c r="BF79" s="13">
        <f t="shared" si="22"/>
        <v>0</v>
      </c>
      <c r="BG79" s="13">
        <f t="shared" si="22"/>
        <v>0</v>
      </c>
      <c r="BH79" s="13">
        <f t="shared" si="22"/>
        <v>0</v>
      </c>
      <c r="BI79" s="13">
        <f t="shared" si="22"/>
        <v>0</v>
      </c>
      <c r="BJ79" s="13">
        <f t="shared" si="22"/>
        <v>0</v>
      </c>
      <c r="BK79" s="13">
        <f t="shared" si="22"/>
        <v>0</v>
      </c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</row>
    <row r="80" spans="1:75" hidden="1" x14ac:dyDescent="0.3">
      <c r="A80" s="104" t="str">
        <f t="shared" si="13"/>
        <v xml:space="preserve">Pago de intereses por el crédito </v>
      </c>
      <c r="B80" s="105"/>
      <c r="C80" s="12"/>
      <c r="D80" s="13">
        <f>C99*$B$42</f>
        <v>0</v>
      </c>
      <c r="E80" s="13">
        <f t="shared" ref="E80:BK80" si="23">D99*$B$42</f>
        <v>0</v>
      </c>
      <c r="F80" s="13">
        <f t="shared" si="23"/>
        <v>0</v>
      </c>
      <c r="G80" s="13">
        <f t="shared" si="23"/>
        <v>0</v>
      </c>
      <c r="H80" s="13">
        <f t="shared" si="23"/>
        <v>0</v>
      </c>
      <c r="I80" s="13">
        <f t="shared" si="23"/>
        <v>0</v>
      </c>
      <c r="J80" s="13">
        <f t="shared" si="23"/>
        <v>0</v>
      </c>
      <c r="K80" s="13">
        <f t="shared" si="23"/>
        <v>0</v>
      </c>
      <c r="L80" s="13">
        <f t="shared" si="23"/>
        <v>0</v>
      </c>
      <c r="M80" s="13">
        <f t="shared" si="23"/>
        <v>0</v>
      </c>
      <c r="N80" s="13">
        <f t="shared" si="23"/>
        <v>0</v>
      </c>
      <c r="O80" s="13">
        <f t="shared" si="23"/>
        <v>0</v>
      </c>
      <c r="P80" s="13">
        <f t="shared" si="23"/>
        <v>0</v>
      </c>
      <c r="Q80" s="13">
        <f t="shared" si="23"/>
        <v>0</v>
      </c>
      <c r="R80" s="13">
        <f t="shared" si="23"/>
        <v>0</v>
      </c>
      <c r="S80" s="13">
        <f t="shared" si="23"/>
        <v>0</v>
      </c>
      <c r="T80" s="13">
        <f t="shared" si="23"/>
        <v>0</v>
      </c>
      <c r="U80" s="13">
        <f t="shared" si="23"/>
        <v>0</v>
      </c>
      <c r="V80" s="13">
        <f t="shared" si="23"/>
        <v>0</v>
      </c>
      <c r="W80" s="13">
        <f t="shared" si="23"/>
        <v>0</v>
      </c>
      <c r="X80" s="13">
        <f t="shared" si="23"/>
        <v>0</v>
      </c>
      <c r="Y80" s="13">
        <f t="shared" si="23"/>
        <v>0</v>
      </c>
      <c r="Z80" s="13">
        <f t="shared" si="23"/>
        <v>0</v>
      </c>
      <c r="AA80" s="13">
        <f t="shared" si="23"/>
        <v>0</v>
      </c>
      <c r="AB80" s="13">
        <f t="shared" si="23"/>
        <v>0</v>
      </c>
      <c r="AC80" s="13">
        <f t="shared" si="23"/>
        <v>0</v>
      </c>
      <c r="AD80" s="13">
        <f t="shared" si="23"/>
        <v>0</v>
      </c>
      <c r="AE80" s="13">
        <f t="shared" si="23"/>
        <v>0</v>
      </c>
      <c r="AF80" s="13">
        <f t="shared" si="23"/>
        <v>0</v>
      </c>
      <c r="AG80" s="13">
        <f t="shared" si="23"/>
        <v>0</v>
      </c>
      <c r="AH80" s="13">
        <f t="shared" si="23"/>
        <v>0</v>
      </c>
      <c r="AI80" s="13">
        <f t="shared" si="23"/>
        <v>0</v>
      </c>
      <c r="AJ80" s="13">
        <f t="shared" si="23"/>
        <v>0</v>
      </c>
      <c r="AK80" s="13">
        <f t="shared" si="23"/>
        <v>0</v>
      </c>
      <c r="AL80" s="13">
        <f t="shared" si="23"/>
        <v>0</v>
      </c>
      <c r="AM80" s="13">
        <f t="shared" si="23"/>
        <v>0</v>
      </c>
      <c r="AN80" s="13">
        <f t="shared" si="23"/>
        <v>0</v>
      </c>
      <c r="AO80" s="13">
        <f t="shared" si="23"/>
        <v>0</v>
      </c>
      <c r="AP80" s="13">
        <f t="shared" si="23"/>
        <v>0</v>
      </c>
      <c r="AQ80" s="13">
        <f t="shared" si="23"/>
        <v>0</v>
      </c>
      <c r="AR80" s="13">
        <f t="shared" si="23"/>
        <v>0</v>
      </c>
      <c r="AS80" s="13">
        <f t="shared" si="23"/>
        <v>0</v>
      </c>
      <c r="AT80" s="13">
        <f t="shared" si="23"/>
        <v>0</v>
      </c>
      <c r="AU80" s="13">
        <f t="shared" si="23"/>
        <v>0</v>
      </c>
      <c r="AV80" s="13">
        <f t="shared" si="23"/>
        <v>0</v>
      </c>
      <c r="AW80" s="13">
        <f t="shared" si="23"/>
        <v>0</v>
      </c>
      <c r="AX80" s="13">
        <f t="shared" si="23"/>
        <v>0</v>
      </c>
      <c r="AY80" s="13">
        <f t="shared" si="23"/>
        <v>0</v>
      </c>
      <c r="AZ80" s="13">
        <f t="shared" si="23"/>
        <v>0</v>
      </c>
      <c r="BA80" s="13">
        <f t="shared" si="23"/>
        <v>0</v>
      </c>
      <c r="BB80" s="13">
        <f t="shared" si="23"/>
        <v>0</v>
      </c>
      <c r="BC80" s="13">
        <f t="shared" si="23"/>
        <v>0</v>
      </c>
      <c r="BD80" s="13">
        <f t="shared" si="23"/>
        <v>0</v>
      </c>
      <c r="BE80" s="13">
        <f t="shared" si="23"/>
        <v>0</v>
      </c>
      <c r="BF80" s="13">
        <f t="shared" si="23"/>
        <v>0</v>
      </c>
      <c r="BG80" s="13">
        <f t="shared" si="23"/>
        <v>0</v>
      </c>
      <c r="BH80" s="13">
        <f t="shared" si="23"/>
        <v>0</v>
      </c>
      <c r="BI80" s="13">
        <f t="shared" si="23"/>
        <v>0</v>
      </c>
      <c r="BJ80" s="13">
        <f t="shared" si="23"/>
        <v>0</v>
      </c>
      <c r="BK80" s="13">
        <f t="shared" si="23"/>
        <v>0</v>
      </c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</row>
    <row r="81" spans="1:75" hidden="1" x14ac:dyDescent="0.3">
      <c r="A81" s="104" t="str">
        <f t="shared" si="13"/>
        <v xml:space="preserve">Pago de intereses por el crédito </v>
      </c>
      <c r="B81" s="105"/>
      <c r="C81" s="12"/>
      <c r="D81" s="13">
        <f>C100*$B$43</f>
        <v>0</v>
      </c>
      <c r="E81" s="13">
        <f t="shared" ref="E81:BK81" si="24">D100*$B$43</f>
        <v>0</v>
      </c>
      <c r="F81" s="13">
        <f t="shared" si="24"/>
        <v>0</v>
      </c>
      <c r="G81" s="13">
        <f t="shared" si="24"/>
        <v>0</v>
      </c>
      <c r="H81" s="13">
        <f t="shared" si="24"/>
        <v>0</v>
      </c>
      <c r="I81" s="13">
        <f t="shared" si="24"/>
        <v>0</v>
      </c>
      <c r="J81" s="13">
        <f t="shared" si="24"/>
        <v>0</v>
      </c>
      <c r="K81" s="13">
        <f t="shared" si="24"/>
        <v>0</v>
      </c>
      <c r="L81" s="13">
        <f t="shared" si="24"/>
        <v>0</v>
      </c>
      <c r="M81" s="13">
        <f t="shared" si="24"/>
        <v>0</v>
      </c>
      <c r="N81" s="13">
        <f t="shared" si="24"/>
        <v>0</v>
      </c>
      <c r="O81" s="13">
        <f t="shared" si="24"/>
        <v>0</v>
      </c>
      <c r="P81" s="13">
        <f t="shared" si="24"/>
        <v>0</v>
      </c>
      <c r="Q81" s="13">
        <f t="shared" si="24"/>
        <v>0</v>
      </c>
      <c r="R81" s="13">
        <f t="shared" si="24"/>
        <v>0</v>
      </c>
      <c r="S81" s="13">
        <f t="shared" si="24"/>
        <v>0</v>
      </c>
      <c r="T81" s="13">
        <f t="shared" si="24"/>
        <v>0</v>
      </c>
      <c r="U81" s="13">
        <f t="shared" si="24"/>
        <v>0</v>
      </c>
      <c r="V81" s="13">
        <f t="shared" si="24"/>
        <v>0</v>
      </c>
      <c r="W81" s="13">
        <f t="shared" si="24"/>
        <v>0</v>
      </c>
      <c r="X81" s="13">
        <f t="shared" si="24"/>
        <v>0</v>
      </c>
      <c r="Y81" s="13">
        <f t="shared" si="24"/>
        <v>0</v>
      </c>
      <c r="Z81" s="13">
        <f t="shared" si="24"/>
        <v>0</v>
      </c>
      <c r="AA81" s="13">
        <f t="shared" si="24"/>
        <v>0</v>
      </c>
      <c r="AB81" s="13">
        <f t="shared" si="24"/>
        <v>0</v>
      </c>
      <c r="AC81" s="13">
        <f t="shared" si="24"/>
        <v>0</v>
      </c>
      <c r="AD81" s="13">
        <f t="shared" si="24"/>
        <v>0</v>
      </c>
      <c r="AE81" s="13">
        <f t="shared" si="24"/>
        <v>0</v>
      </c>
      <c r="AF81" s="13">
        <f t="shared" si="24"/>
        <v>0</v>
      </c>
      <c r="AG81" s="13">
        <f t="shared" si="24"/>
        <v>0</v>
      </c>
      <c r="AH81" s="13">
        <f t="shared" si="24"/>
        <v>0</v>
      </c>
      <c r="AI81" s="13">
        <f t="shared" si="24"/>
        <v>0</v>
      </c>
      <c r="AJ81" s="13">
        <f t="shared" si="24"/>
        <v>0</v>
      </c>
      <c r="AK81" s="13">
        <f t="shared" si="24"/>
        <v>0</v>
      </c>
      <c r="AL81" s="13">
        <f t="shared" si="24"/>
        <v>0</v>
      </c>
      <c r="AM81" s="13">
        <f t="shared" si="24"/>
        <v>0</v>
      </c>
      <c r="AN81" s="13">
        <f t="shared" si="24"/>
        <v>0</v>
      </c>
      <c r="AO81" s="13">
        <f t="shared" si="24"/>
        <v>0</v>
      </c>
      <c r="AP81" s="13">
        <f t="shared" si="24"/>
        <v>0</v>
      </c>
      <c r="AQ81" s="13">
        <f t="shared" si="24"/>
        <v>0</v>
      </c>
      <c r="AR81" s="13">
        <f t="shared" si="24"/>
        <v>0</v>
      </c>
      <c r="AS81" s="13">
        <f t="shared" si="24"/>
        <v>0</v>
      </c>
      <c r="AT81" s="13">
        <f t="shared" si="24"/>
        <v>0</v>
      </c>
      <c r="AU81" s="13">
        <f t="shared" si="24"/>
        <v>0</v>
      </c>
      <c r="AV81" s="13">
        <f t="shared" si="24"/>
        <v>0</v>
      </c>
      <c r="AW81" s="13">
        <f t="shared" si="24"/>
        <v>0</v>
      </c>
      <c r="AX81" s="13">
        <f t="shared" si="24"/>
        <v>0</v>
      </c>
      <c r="AY81" s="13">
        <f t="shared" si="24"/>
        <v>0</v>
      </c>
      <c r="AZ81" s="13">
        <f t="shared" si="24"/>
        <v>0</v>
      </c>
      <c r="BA81" s="13">
        <f t="shared" si="24"/>
        <v>0</v>
      </c>
      <c r="BB81" s="13">
        <f t="shared" si="24"/>
        <v>0</v>
      </c>
      <c r="BC81" s="13">
        <f t="shared" si="24"/>
        <v>0</v>
      </c>
      <c r="BD81" s="13">
        <f t="shared" si="24"/>
        <v>0</v>
      </c>
      <c r="BE81" s="13">
        <f t="shared" si="24"/>
        <v>0</v>
      </c>
      <c r="BF81" s="13">
        <f t="shared" si="24"/>
        <v>0</v>
      </c>
      <c r="BG81" s="13">
        <f t="shared" si="24"/>
        <v>0</v>
      </c>
      <c r="BH81" s="13">
        <f t="shared" si="24"/>
        <v>0</v>
      </c>
      <c r="BI81" s="13">
        <f t="shared" si="24"/>
        <v>0</v>
      </c>
      <c r="BJ81" s="13">
        <f t="shared" si="24"/>
        <v>0</v>
      </c>
      <c r="BK81" s="13">
        <f t="shared" si="24"/>
        <v>0</v>
      </c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</row>
    <row r="82" spans="1:75" hidden="1" x14ac:dyDescent="0.3">
      <c r="A82" s="104" t="str">
        <f t="shared" si="13"/>
        <v xml:space="preserve">Pago de intereses por el crédito </v>
      </c>
      <c r="B82" s="105"/>
      <c r="C82" s="12"/>
      <c r="D82" s="13">
        <f>C101*$B$44</f>
        <v>0</v>
      </c>
      <c r="E82" s="13">
        <f t="shared" ref="E82:BK82" si="25">D101*$B$44</f>
        <v>0</v>
      </c>
      <c r="F82" s="13">
        <f t="shared" si="25"/>
        <v>0</v>
      </c>
      <c r="G82" s="13">
        <f t="shared" si="25"/>
        <v>0</v>
      </c>
      <c r="H82" s="13">
        <f t="shared" si="25"/>
        <v>0</v>
      </c>
      <c r="I82" s="13">
        <f t="shared" si="25"/>
        <v>0</v>
      </c>
      <c r="J82" s="13">
        <f t="shared" si="25"/>
        <v>0</v>
      </c>
      <c r="K82" s="13">
        <f t="shared" si="25"/>
        <v>0</v>
      </c>
      <c r="L82" s="13">
        <f t="shared" si="25"/>
        <v>0</v>
      </c>
      <c r="M82" s="13">
        <f t="shared" si="25"/>
        <v>0</v>
      </c>
      <c r="N82" s="13">
        <f t="shared" si="25"/>
        <v>0</v>
      </c>
      <c r="O82" s="13">
        <f t="shared" si="25"/>
        <v>0</v>
      </c>
      <c r="P82" s="13">
        <f t="shared" si="25"/>
        <v>0</v>
      </c>
      <c r="Q82" s="13">
        <f t="shared" si="25"/>
        <v>0</v>
      </c>
      <c r="R82" s="13">
        <f t="shared" si="25"/>
        <v>0</v>
      </c>
      <c r="S82" s="13">
        <f t="shared" si="25"/>
        <v>0</v>
      </c>
      <c r="T82" s="13">
        <f t="shared" si="25"/>
        <v>0</v>
      </c>
      <c r="U82" s="13">
        <f t="shared" si="25"/>
        <v>0</v>
      </c>
      <c r="V82" s="13">
        <f t="shared" si="25"/>
        <v>0</v>
      </c>
      <c r="W82" s="13">
        <f t="shared" si="25"/>
        <v>0</v>
      </c>
      <c r="X82" s="13">
        <f t="shared" si="25"/>
        <v>0</v>
      </c>
      <c r="Y82" s="13">
        <f t="shared" si="25"/>
        <v>0</v>
      </c>
      <c r="Z82" s="13">
        <f t="shared" si="25"/>
        <v>0</v>
      </c>
      <c r="AA82" s="13">
        <f t="shared" si="25"/>
        <v>0</v>
      </c>
      <c r="AB82" s="13">
        <f t="shared" si="25"/>
        <v>0</v>
      </c>
      <c r="AC82" s="13">
        <f t="shared" si="25"/>
        <v>0</v>
      </c>
      <c r="AD82" s="13">
        <f t="shared" si="25"/>
        <v>0</v>
      </c>
      <c r="AE82" s="13">
        <f t="shared" si="25"/>
        <v>0</v>
      </c>
      <c r="AF82" s="13">
        <f t="shared" si="25"/>
        <v>0</v>
      </c>
      <c r="AG82" s="13">
        <f t="shared" si="25"/>
        <v>0</v>
      </c>
      <c r="AH82" s="13">
        <f t="shared" si="25"/>
        <v>0</v>
      </c>
      <c r="AI82" s="13">
        <f t="shared" si="25"/>
        <v>0</v>
      </c>
      <c r="AJ82" s="13">
        <f t="shared" si="25"/>
        <v>0</v>
      </c>
      <c r="AK82" s="13">
        <f t="shared" si="25"/>
        <v>0</v>
      </c>
      <c r="AL82" s="13">
        <f t="shared" si="25"/>
        <v>0</v>
      </c>
      <c r="AM82" s="13">
        <f t="shared" si="25"/>
        <v>0</v>
      </c>
      <c r="AN82" s="13">
        <f t="shared" si="25"/>
        <v>0</v>
      </c>
      <c r="AO82" s="13">
        <f t="shared" si="25"/>
        <v>0</v>
      </c>
      <c r="AP82" s="13">
        <f t="shared" si="25"/>
        <v>0</v>
      </c>
      <c r="AQ82" s="13">
        <f t="shared" si="25"/>
        <v>0</v>
      </c>
      <c r="AR82" s="13">
        <f t="shared" si="25"/>
        <v>0</v>
      </c>
      <c r="AS82" s="13">
        <f t="shared" si="25"/>
        <v>0</v>
      </c>
      <c r="AT82" s="13">
        <f t="shared" si="25"/>
        <v>0</v>
      </c>
      <c r="AU82" s="13">
        <f t="shared" si="25"/>
        <v>0</v>
      </c>
      <c r="AV82" s="13">
        <f t="shared" si="25"/>
        <v>0</v>
      </c>
      <c r="AW82" s="13">
        <f t="shared" si="25"/>
        <v>0</v>
      </c>
      <c r="AX82" s="13">
        <f t="shared" si="25"/>
        <v>0</v>
      </c>
      <c r="AY82" s="13">
        <f t="shared" si="25"/>
        <v>0</v>
      </c>
      <c r="AZ82" s="13">
        <f t="shared" si="25"/>
        <v>0</v>
      </c>
      <c r="BA82" s="13">
        <f t="shared" si="25"/>
        <v>0</v>
      </c>
      <c r="BB82" s="13">
        <f t="shared" si="25"/>
        <v>0</v>
      </c>
      <c r="BC82" s="13">
        <f t="shared" si="25"/>
        <v>0</v>
      </c>
      <c r="BD82" s="13">
        <f t="shared" si="25"/>
        <v>0</v>
      </c>
      <c r="BE82" s="13">
        <f t="shared" si="25"/>
        <v>0</v>
      </c>
      <c r="BF82" s="13">
        <f t="shared" si="25"/>
        <v>0</v>
      </c>
      <c r="BG82" s="13">
        <f t="shared" si="25"/>
        <v>0</v>
      </c>
      <c r="BH82" s="13">
        <f t="shared" si="25"/>
        <v>0</v>
      </c>
      <c r="BI82" s="13">
        <f t="shared" si="25"/>
        <v>0</v>
      </c>
      <c r="BJ82" s="13">
        <f t="shared" si="25"/>
        <v>0</v>
      </c>
      <c r="BK82" s="13">
        <f t="shared" si="25"/>
        <v>0</v>
      </c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</row>
    <row r="83" spans="1:75" hidden="1" x14ac:dyDescent="0.3">
      <c r="A83" s="104" t="str">
        <f t="shared" si="13"/>
        <v xml:space="preserve">Pago de intereses por el crédito </v>
      </c>
      <c r="B83" s="105"/>
      <c r="C83" s="12"/>
      <c r="D83" s="13">
        <f>C102*$B$45</f>
        <v>0</v>
      </c>
      <c r="E83" s="13">
        <f t="shared" ref="E83:BK83" si="26">D102*$B$45</f>
        <v>0</v>
      </c>
      <c r="F83" s="13">
        <f t="shared" si="26"/>
        <v>0</v>
      </c>
      <c r="G83" s="13">
        <f t="shared" si="26"/>
        <v>0</v>
      </c>
      <c r="H83" s="13">
        <f t="shared" si="26"/>
        <v>0</v>
      </c>
      <c r="I83" s="13">
        <f t="shared" si="26"/>
        <v>0</v>
      </c>
      <c r="J83" s="13">
        <f t="shared" si="26"/>
        <v>0</v>
      </c>
      <c r="K83" s="13">
        <f t="shared" si="26"/>
        <v>0</v>
      </c>
      <c r="L83" s="13">
        <f t="shared" si="26"/>
        <v>0</v>
      </c>
      <c r="M83" s="13">
        <f t="shared" si="26"/>
        <v>0</v>
      </c>
      <c r="N83" s="13">
        <f t="shared" si="26"/>
        <v>0</v>
      </c>
      <c r="O83" s="13">
        <f t="shared" si="26"/>
        <v>0</v>
      </c>
      <c r="P83" s="13">
        <f t="shared" si="26"/>
        <v>0</v>
      </c>
      <c r="Q83" s="13">
        <f t="shared" si="26"/>
        <v>0</v>
      </c>
      <c r="R83" s="13">
        <f t="shared" si="26"/>
        <v>0</v>
      </c>
      <c r="S83" s="13">
        <f t="shared" si="26"/>
        <v>0</v>
      </c>
      <c r="T83" s="13">
        <f t="shared" si="26"/>
        <v>0</v>
      </c>
      <c r="U83" s="13">
        <f t="shared" si="26"/>
        <v>0</v>
      </c>
      <c r="V83" s="13">
        <f t="shared" si="26"/>
        <v>0</v>
      </c>
      <c r="W83" s="13">
        <f t="shared" si="26"/>
        <v>0</v>
      </c>
      <c r="X83" s="13">
        <f t="shared" si="26"/>
        <v>0</v>
      </c>
      <c r="Y83" s="13">
        <f t="shared" si="26"/>
        <v>0</v>
      </c>
      <c r="Z83" s="13">
        <f t="shared" si="26"/>
        <v>0</v>
      </c>
      <c r="AA83" s="13">
        <f t="shared" si="26"/>
        <v>0</v>
      </c>
      <c r="AB83" s="13">
        <f t="shared" si="26"/>
        <v>0</v>
      </c>
      <c r="AC83" s="13">
        <f t="shared" si="26"/>
        <v>0</v>
      </c>
      <c r="AD83" s="13">
        <f t="shared" si="26"/>
        <v>0</v>
      </c>
      <c r="AE83" s="13">
        <f t="shared" si="26"/>
        <v>0</v>
      </c>
      <c r="AF83" s="13">
        <f t="shared" si="26"/>
        <v>0</v>
      </c>
      <c r="AG83" s="13">
        <f t="shared" si="26"/>
        <v>0</v>
      </c>
      <c r="AH83" s="13">
        <f t="shared" si="26"/>
        <v>0</v>
      </c>
      <c r="AI83" s="13">
        <f t="shared" si="26"/>
        <v>0</v>
      </c>
      <c r="AJ83" s="13">
        <f t="shared" si="26"/>
        <v>0</v>
      </c>
      <c r="AK83" s="13">
        <f t="shared" si="26"/>
        <v>0</v>
      </c>
      <c r="AL83" s="13">
        <f t="shared" si="26"/>
        <v>0</v>
      </c>
      <c r="AM83" s="13">
        <f t="shared" si="26"/>
        <v>0</v>
      </c>
      <c r="AN83" s="13">
        <f t="shared" si="26"/>
        <v>0</v>
      </c>
      <c r="AO83" s="13">
        <f t="shared" si="26"/>
        <v>0</v>
      </c>
      <c r="AP83" s="13">
        <f t="shared" si="26"/>
        <v>0</v>
      </c>
      <c r="AQ83" s="13">
        <f t="shared" si="26"/>
        <v>0</v>
      </c>
      <c r="AR83" s="13">
        <f t="shared" si="26"/>
        <v>0</v>
      </c>
      <c r="AS83" s="13">
        <f t="shared" si="26"/>
        <v>0</v>
      </c>
      <c r="AT83" s="13">
        <f t="shared" si="26"/>
        <v>0</v>
      </c>
      <c r="AU83" s="13">
        <f t="shared" si="26"/>
        <v>0</v>
      </c>
      <c r="AV83" s="13">
        <f t="shared" si="26"/>
        <v>0</v>
      </c>
      <c r="AW83" s="13">
        <f t="shared" si="26"/>
        <v>0</v>
      </c>
      <c r="AX83" s="13">
        <f t="shared" si="26"/>
        <v>0</v>
      </c>
      <c r="AY83" s="13">
        <f t="shared" si="26"/>
        <v>0</v>
      </c>
      <c r="AZ83" s="13">
        <f t="shared" si="26"/>
        <v>0</v>
      </c>
      <c r="BA83" s="13">
        <f t="shared" si="26"/>
        <v>0</v>
      </c>
      <c r="BB83" s="13">
        <f t="shared" si="26"/>
        <v>0</v>
      </c>
      <c r="BC83" s="13">
        <f t="shared" si="26"/>
        <v>0</v>
      </c>
      <c r="BD83" s="13">
        <f t="shared" si="26"/>
        <v>0</v>
      </c>
      <c r="BE83" s="13">
        <f t="shared" si="26"/>
        <v>0</v>
      </c>
      <c r="BF83" s="13">
        <f t="shared" si="26"/>
        <v>0</v>
      </c>
      <c r="BG83" s="13">
        <f t="shared" si="26"/>
        <v>0</v>
      </c>
      <c r="BH83" s="13">
        <f t="shared" si="26"/>
        <v>0</v>
      </c>
      <c r="BI83" s="13">
        <f t="shared" si="26"/>
        <v>0</v>
      </c>
      <c r="BJ83" s="13">
        <f t="shared" si="26"/>
        <v>0</v>
      </c>
      <c r="BK83" s="13">
        <f t="shared" si="26"/>
        <v>0</v>
      </c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</row>
    <row r="84" spans="1:75" hidden="1" x14ac:dyDescent="0.3">
      <c r="A84" s="104" t="str">
        <f t="shared" si="13"/>
        <v xml:space="preserve">Pago de intereses por el crédito </v>
      </c>
      <c r="B84" s="105"/>
      <c r="C84" s="12"/>
      <c r="D84" s="13">
        <f>C103*$B$46</f>
        <v>0</v>
      </c>
      <c r="E84" s="13">
        <f t="shared" ref="E84:BK84" si="27">D103*$B$46</f>
        <v>0</v>
      </c>
      <c r="F84" s="13">
        <f t="shared" si="27"/>
        <v>0</v>
      </c>
      <c r="G84" s="13">
        <f t="shared" si="27"/>
        <v>0</v>
      </c>
      <c r="H84" s="13">
        <f t="shared" si="27"/>
        <v>0</v>
      </c>
      <c r="I84" s="13">
        <f t="shared" si="27"/>
        <v>0</v>
      </c>
      <c r="J84" s="13">
        <f t="shared" si="27"/>
        <v>0</v>
      </c>
      <c r="K84" s="13">
        <f t="shared" si="27"/>
        <v>0</v>
      </c>
      <c r="L84" s="13">
        <f t="shared" si="27"/>
        <v>0</v>
      </c>
      <c r="M84" s="13">
        <f t="shared" si="27"/>
        <v>0</v>
      </c>
      <c r="N84" s="13">
        <f t="shared" si="27"/>
        <v>0</v>
      </c>
      <c r="O84" s="13">
        <f t="shared" si="27"/>
        <v>0</v>
      </c>
      <c r="P84" s="13">
        <f t="shared" si="27"/>
        <v>0</v>
      </c>
      <c r="Q84" s="13">
        <f t="shared" si="27"/>
        <v>0</v>
      </c>
      <c r="R84" s="13">
        <f t="shared" si="27"/>
        <v>0</v>
      </c>
      <c r="S84" s="13">
        <f t="shared" si="27"/>
        <v>0</v>
      </c>
      <c r="T84" s="13">
        <f t="shared" si="27"/>
        <v>0</v>
      </c>
      <c r="U84" s="13">
        <f t="shared" si="27"/>
        <v>0</v>
      </c>
      <c r="V84" s="13">
        <f t="shared" si="27"/>
        <v>0</v>
      </c>
      <c r="W84" s="13">
        <f t="shared" si="27"/>
        <v>0</v>
      </c>
      <c r="X84" s="13">
        <f t="shared" si="27"/>
        <v>0</v>
      </c>
      <c r="Y84" s="13">
        <f t="shared" si="27"/>
        <v>0</v>
      </c>
      <c r="Z84" s="13">
        <f t="shared" si="27"/>
        <v>0</v>
      </c>
      <c r="AA84" s="13">
        <f t="shared" si="27"/>
        <v>0</v>
      </c>
      <c r="AB84" s="13">
        <f t="shared" si="27"/>
        <v>0</v>
      </c>
      <c r="AC84" s="13">
        <f t="shared" si="27"/>
        <v>0</v>
      </c>
      <c r="AD84" s="13">
        <f t="shared" si="27"/>
        <v>0</v>
      </c>
      <c r="AE84" s="13">
        <f t="shared" si="27"/>
        <v>0</v>
      </c>
      <c r="AF84" s="13">
        <f t="shared" si="27"/>
        <v>0</v>
      </c>
      <c r="AG84" s="13">
        <f t="shared" si="27"/>
        <v>0</v>
      </c>
      <c r="AH84" s="13">
        <f t="shared" si="27"/>
        <v>0</v>
      </c>
      <c r="AI84" s="13">
        <f t="shared" si="27"/>
        <v>0</v>
      </c>
      <c r="AJ84" s="13">
        <f t="shared" si="27"/>
        <v>0</v>
      </c>
      <c r="AK84" s="13">
        <f t="shared" si="27"/>
        <v>0</v>
      </c>
      <c r="AL84" s="13">
        <f t="shared" si="27"/>
        <v>0</v>
      </c>
      <c r="AM84" s="13">
        <f t="shared" si="27"/>
        <v>0</v>
      </c>
      <c r="AN84" s="13">
        <f t="shared" si="27"/>
        <v>0</v>
      </c>
      <c r="AO84" s="13">
        <f t="shared" si="27"/>
        <v>0</v>
      </c>
      <c r="AP84" s="13">
        <f t="shared" si="27"/>
        <v>0</v>
      </c>
      <c r="AQ84" s="13">
        <f t="shared" si="27"/>
        <v>0</v>
      </c>
      <c r="AR84" s="13">
        <f t="shared" si="27"/>
        <v>0</v>
      </c>
      <c r="AS84" s="13">
        <f t="shared" si="27"/>
        <v>0</v>
      </c>
      <c r="AT84" s="13">
        <f t="shared" si="27"/>
        <v>0</v>
      </c>
      <c r="AU84" s="13">
        <f t="shared" si="27"/>
        <v>0</v>
      </c>
      <c r="AV84" s="13">
        <f t="shared" si="27"/>
        <v>0</v>
      </c>
      <c r="AW84" s="13">
        <f t="shared" si="27"/>
        <v>0</v>
      </c>
      <c r="AX84" s="13">
        <f t="shared" si="27"/>
        <v>0</v>
      </c>
      <c r="AY84" s="13">
        <f t="shared" si="27"/>
        <v>0</v>
      </c>
      <c r="AZ84" s="13">
        <f t="shared" si="27"/>
        <v>0</v>
      </c>
      <c r="BA84" s="13">
        <f t="shared" si="27"/>
        <v>0</v>
      </c>
      <c r="BB84" s="13">
        <f t="shared" si="27"/>
        <v>0</v>
      </c>
      <c r="BC84" s="13">
        <f t="shared" si="27"/>
        <v>0</v>
      </c>
      <c r="BD84" s="13">
        <f t="shared" si="27"/>
        <v>0</v>
      </c>
      <c r="BE84" s="13">
        <f t="shared" si="27"/>
        <v>0</v>
      </c>
      <c r="BF84" s="13">
        <f t="shared" si="27"/>
        <v>0</v>
      </c>
      <c r="BG84" s="13">
        <f t="shared" si="27"/>
        <v>0</v>
      </c>
      <c r="BH84" s="13">
        <f t="shared" si="27"/>
        <v>0</v>
      </c>
      <c r="BI84" s="13">
        <f t="shared" si="27"/>
        <v>0</v>
      </c>
      <c r="BJ84" s="13">
        <f t="shared" si="27"/>
        <v>0</v>
      </c>
      <c r="BK84" s="13">
        <f t="shared" si="27"/>
        <v>0</v>
      </c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</row>
    <row r="85" spans="1:75" hidden="1" x14ac:dyDescent="0.3">
      <c r="A85" s="110" t="s">
        <v>229</v>
      </c>
      <c r="B85" s="111"/>
      <c r="C85" s="9">
        <f t="shared" ref="C85:AH85" si="28">SUM(C70:C84)</f>
        <v>0</v>
      </c>
      <c r="D85" s="9">
        <f t="shared" si="28"/>
        <v>0</v>
      </c>
      <c r="E85" s="9">
        <f t="shared" si="28"/>
        <v>0</v>
      </c>
      <c r="F85" s="9">
        <f t="shared" si="28"/>
        <v>0</v>
      </c>
      <c r="G85" s="9">
        <f t="shared" si="28"/>
        <v>0</v>
      </c>
      <c r="H85" s="9">
        <f t="shared" si="28"/>
        <v>0</v>
      </c>
      <c r="I85" s="9">
        <f t="shared" si="28"/>
        <v>0</v>
      </c>
      <c r="J85" s="9">
        <f t="shared" si="28"/>
        <v>0</v>
      </c>
      <c r="K85" s="9">
        <f t="shared" si="28"/>
        <v>0</v>
      </c>
      <c r="L85" s="9">
        <f t="shared" si="28"/>
        <v>0</v>
      </c>
      <c r="M85" s="9">
        <f t="shared" si="28"/>
        <v>0</v>
      </c>
      <c r="N85" s="9">
        <f t="shared" si="28"/>
        <v>0</v>
      </c>
      <c r="O85" s="9">
        <f t="shared" si="28"/>
        <v>0</v>
      </c>
      <c r="P85" s="9">
        <f t="shared" si="28"/>
        <v>0</v>
      </c>
      <c r="Q85" s="9">
        <f t="shared" si="28"/>
        <v>0</v>
      </c>
      <c r="R85" s="9">
        <f t="shared" si="28"/>
        <v>0</v>
      </c>
      <c r="S85" s="9">
        <f t="shared" si="28"/>
        <v>0</v>
      </c>
      <c r="T85" s="9">
        <f t="shared" si="28"/>
        <v>0</v>
      </c>
      <c r="U85" s="9">
        <f t="shared" si="28"/>
        <v>0</v>
      </c>
      <c r="V85" s="9">
        <f t="shared" si="28"/>
        <v>0</v>
      </c>
      <c r="W85" s="9">
        <f t="shared" si="28"/>
        <v>0</v>
      </c>
      <c r="X85" s="9">
        <f t="shared" si="28"/>
        <v>0</v>
      </c>
      <c r="Y85" s="9">
        <f t="shared" si="28"/>
        <v>0</v>
      </c>
      <c r="Z85" s="9">
        <f t="shared" si="28"/>
        <v>0</v>
      </c>
      <c r="AA85" s="9">
        <f t="shared" si="28"/>
        <v>0</v>
      </c>
      <c r="AB85" s="9">
        <f t="shared" si="28"/>
        <v>0</v>
      </c>
      <c r="AC85" s="9">
        <f t="shared" si="28"/>
        <v>0</v>
      </c>
      <c r="AD85" s="9">
        <f t="shared" si="28"/>
        <v>0</v>
      </c>
      <c r="AE85" s="9">
        <f t="shared" si="28"/>
        <v>0</v>
      </c>
      <c r="AF85" s="9">
        <f t="shared" si="28"/>
        <v>0</v>
      </c>
      <c r="AG85" s="9">
        <f t="shared" si="28"/>
        <v>0</v>
      </c>
      <c r="AH85" s="9">
        <f t="shared" si="28"/>
        <v>0</v>
      </c>
      <c r="AI85" s="9">
        <f t="shared" ref="AI85:BK85" si="29">SUM(AI70:AI84)</f>
        <v>0</v>
      </c>
      <c r="AJ85" s="9">
        <f t="shared" si="29"/>
        <v>0</v>
      </c>
      <c r="AK85" s="9">
        <f t="shared" si="29"/>
        <v>0</v>
      </c>
      <c r="AL85" s="9">
        <f t="shared" si="29"/>
        <v>0</v>
      </c>
      <c r="AM85" s="9">
        <f t="shared" si="29"/>
        <v>0</v>
      </c>
      <c r="AN85" s="9">
        <f t="shared" si="29"/>
        <v>0</v>
      </c>
      <c r="AO85" s="9">
        <f t="shared" si="29"/>
        <v>0</v>
      </c>
      <c r="AP85" s="9">
        <f t="shared" si="29"/>
        <v>0</v>
      </c>
      <c r="AQ85" s="9">
        <f t="shared" si="29"/>
        <v>0</v>
      </c>
      <c r="AR85" s="9">
        <f t="shared" si="29"/>
        <v>0</v>
      </c>
      <c r="AS85" s="9">
        <f t="shared" si="29"/>
        <v>0</v>
      </c>
      <c r="AT85" s="9">
        <f t="shared" si="29"/>
        <v>0</v>
      </c>
      <c r="AU85" s="9">
        <f t="shared" si="29"/>
        <v>0</v>
      </c>
      <c r="AV85" s="9">
        <f t="shared" si="29"/>
        <v>0</v>
      </c>
      <c r="AW85" s="9">
        <f t="shared" si="29"/>
        <v>0</v>
      </c>
      <c r="AX85" s="9">
        <f t="shared" si="29"/>
        <v>0</v>
      </c>
      <c r="AY85" s="9">
        <f t="shared" si="29"/>
        <v>0</v>
      </c>
      <c r="AZ85" s="9">
        <f t="shared" si="29"/>
        <v>0</v>
      </c>
      <c r="BA85" s="9">
        <f t="shared" si="29"/>
        <v>0</v>
      </c>
      <c r="BB85" s="9">
        <f t="shared" si="29"/>
        <v>0</v>
      </c>
      <c r="BC85" s="9">
        <f t="shared" si="29"/>
        <v>0</v>
      </c>
      <c r="BD85" s="9">
        <f t="shared" si="29"/>
        <v>0</v>
      </c>
      <c r="BE85" s="9">
        <f t="shared" si="29"/>
        <v>0</v>
      </c>
      <c r="BF85" s="9">
        <f t="shared" si="29"/>
        <v>0</v>
      </c>
      <c r="BG85" s="9">
        <f t="shared" si="29"/>
        <v>0</v>
      </c>
      <c r="BH85" s="9">
        <f t="shared" si="29"/>
        <v>0</v>
      </c>
      <c r="BI85" s="9">
        <f t="shared" si="29"/>
        <v>0</v>
      </c>
      <c r="BJ85" s="9">
        <f t="shared" si="29"/>
        <v>0</v>
      </c>
      <c r="BK85" s="9">
        <f t="shared" si="29"/>
        <v>0</v>
      </c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</row>
    <row r="86" spans="1:75" hidden="1" x14ac:dyDescent="0.3"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</row>
    <row r="87" spans="1:75" hidden="1" x14ac:dyDescent="0.3">
      <c r="A87" s="106" t="s">
        <v>230</v>
      </c>
      <c r="B87" s="107"/>
      <c r="C87" s="11"/>
      <c r="D87" s="103">
        <f>Año1</f>
        <v>2027</v>
      </c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>
        <f>Año2</f>
        <v>2028</v>
      </c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>
        <f>Año3</f>
        <v>2029</v>
      </c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>
        <f>Año4</f>
        <v>2030</v>
      </c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>
        <f>Año5</f>
        <v>2031</v>
      </c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>
        <f>Año5+1</f>
        <v>2032</v>
      </c>
      <c r="BM87" s="103"/>
      <c r="BN87" s="103"/>
      <c r="BO87" s="103"/>
      <c r="BP87" s="103"/>
      <c r="BQ87" s="103"/>
      <c r="BR87" s="103"/>
      <c r="BS87" s="103"/>
      <c r="BT87" s="103"/>
      <c r="BU87" s="103"/>
      <c r="BV87" s="103"/>
      <c r="BW87" s="103"/>
    </row>
    <row r="88" spans="1:75" hidden="1" x14ac:dyDescent="0.3">
      <c r="A88" s="108"/>
      <c r="B88" s="109"/>
      <c r="C88" s="11" t="s">
        <v>196</v>
      </c>
      <c r="D88" s="4" t="s">
        <v>67</v>
      </c>
      <c r="E88" s="4" t="s">
        <v>68</v>
      </c>
      <c r="F88" s="4" t="s">
        <v>69</v>
      </c>
      <c r="G88" s="4" t="s">
        <v>70</v>
      </c>
      <c r="H88" s="4" t="s">
        <v>71</v>
      </c>
      <c r="I88" s="4" t="s">
        <v>72</v>
      </c>
      <c r="J88" s="4" t="s">
        <v>73</v>
      </c>
      <c r="K88" s="4" t="s">
        <v>74</v>
      </c>
      <c r="L88" s="4" t="s">
        <v>75</v>
      </c>
      <c r="M88" s="4" t="s">
        <v>76</v>
      </c>
      <c r="N88" s="4" t="s">
        <v>77</v>
      </c>
      <c r="O88" s="4" t="s">
        <v>78</v>
      </c>
      <c r="P88" s="4" t="s">
        <v>79</v>
      </c>
      <c r="Q88" s="4" t="s">
        <v>80</v>
      </c>
      <c r="R88" s="4" t="s">
        <v>81</v>
      </c>
      <c r="S88" s="4" t="s">
        <v>82</v>
      </c>
      <c r="T88" s="4" t="s">
        <v>83</v>
      </c>
      <c r="U88" s="4" t="s">
        <v>84</v>
      </c>
      <c r="V88" s="4" t="s">
        <v>85</v>
      </c>
      <c r="W88" s="4" t="s">
        <v>86</v>
      </c>
      <c r="X88" s="4" t="s">
        <v>87</v>
      </c>
      <c r="Y88" s="4" t="s">
        <v>88</v>
      </c>
      <c r="Z88" s="4" t="s">
        <v>89</v>
      </c>
      <c r="AA88" s="4" t="s">
        <v>90</v>
      </c>
      <c r="AB88" s="4" t="s">
        <v>91</v>
      </c>
      <c r="AC88" s="4" t="s">
        <v>92</v>
      </c>
      <c r="AD88" s="4" t="s">
        <v>93</v>
      </c>
      <c r="AE88" s="4" t="s">
        <v>94</v>
      </c>
      <c r="AF88" s="4" t="s">
        <v>95</v>
      </c>
      <c r="AG88" s="4" t="s">
        <v>96</v>
      </c>
      <c r="AH88" s="4" t="s">
        <v>97</v>
      </c>
      <c r="AI88" s="4" t="s">
        <v>98</v>
      </c>
      <c r="AJ88" s="4" t="s">
        <v>99</v>
      </c>
      <c r="AK88" s="4" t="s">
        <v>100</v>
      </c>
      <c r="AL88" s="4" t="s">
        <v>101</v>
      </c>
      <c r="AM88" s="4" t="s">
        <v>102</v>
      </c>
      <c r="AN88" s="4" t="s">
        <v>103</v>
      </c>
      <c r="AO88" s="4" t="s">
        <v>104</v>
      </c>
      <c r="AP88" s="4" t="s">
        <v>105</v>
      </c>
      <c r="AQ88" s="4" t="s">
        <v>106</v>
      </c>
      <c r="AR88" s="4" t="s">
        <v>107</v>
      </c>
      <c r="AS88" s="4" t="s">
        <v>108</v>
      </c>
      <c r="AT88" s="4" t="s">
        <v>109</v>
      </c>
      <c r="AU88" s="4" t="s">
        <v>110</v>
      </c>
      <c r="AV88" s="4" t="s">
        <v>111</v>
      </c>
      <c r="AW88" s="4" t="s">
        <v>112</v>
      </c>
      <c r="AX88" s="4" t="s">
        <v>113</v>
      </c>
      <c r="AY88" s="4" t="s">
        <v>114</v>
      </c>
      <c r="AZ88" s="4" t="s">
        <v>115</v>
      </c>
      <c r="BA88" s="4" t="s">
        <v>116</v>
      </c>
      <c r="BB88" s="4" t="s">
        <v>117</v>
      </c>
      <c r="BC88" s="4" t="s">
        <v>118</v>
      </c>
      <c r="BD88" s="4" t="s">
        <v>119</v>
      </c>
      <c r="BE88" s="4" t="s">
        <v>120</v>
      </c>
      <c r="BF88" s="4" t="s">
        <v>121</v>
      </c>
      <c r="BG88" s="4" t="s">
        <v>122</v>
      </c>
      <c r="BH88" s="4" t="s">
        <v>123</v>
      </c>
      <c r="BI88" s="4" t="s">
        <v>124</v>
      </c>
      <c r="BJ88" s="4" t="s">
        <v>125</v>
      </c>
      <c r="BK88" s="4" t="s">
        <v>126</v>
      </c>
      <c r="BL88" s="4" t="s">
        <v>215</v>
      </c>
      <c r="BM88" s="4" t="s">
        <v>216</v>
      </c>
      <c r="BN88" s="4" t="s">
        <v>217</v>
      </c>
      <c r="BO88" s="4" t="s">
        <v>218</v>
      </c>
      <c r="BP88" s="4" t="s">
        <v>219</v>
      </c>
      <c r="BQ88" s="4" t="s">
        <v>220</v>
      </c>
      <c r="BR88" s="4" t="s">
        <v>221</v>
      </c>
      <c r="BS88" s="4" t="s">
        <v>222</v>
      </c>
      <c r="BT88" s="4" t="s">
        <v>223</v>
      </c>
      <c r="BU88" s="4" t="s">
        <v>224</v>
      </c>
      <c r="BV88" s="4" t="s">
        <v>225</v>
      </c>
      <c r="BW88" s="4" t="s">
        <v>226</v>
      </c>
    </row>
    <row r="89" spans="1:75" hidden="1" x14ac:dyDescent="0.3">
      <c r="A89" s="104" t="str">
        <f>CONCATENATE("Saldos del crédito"," ",A32)</f>
        <v xml:space="preserve">Saldos del crédito </v>
      </c>
      <c r="B89" s="105"/>
      <c r="C89" s="14">
        <f>IF(SUM($C$32:C32)-SUM($C$51:C51)&gt;0,SUM($C$32:C32)-SUM($C$51:C51),0)</f>
        <v>0</v>
      </c>
      <c r="D89" s="14">
        <f>IF(SUM($C$32:D32)-SUM($C$51:D51)&gt;0,SUM($C$32:D32)-SUM($C$51:D51),0)</f>
        <v>0</v>
      </c>
      <c r="E89" s="14">
        <f>IF(SUM($C$32:E32)-SUM($C$51:E51)&gt;0,SUM($C$32:E32)-SUM($C$51:E51),0)</f>
        <v>0</v>
      </c>
      <c r="F89" s="14">
        <f>IF(SUM($C$32:F32)-SUM($C$51:F51)&gt;0,SUM($C$32:F32)-SUM($C$51:F51),0)</f>
        <v>0</v>
      </c>
      <c r="G89" s="14">
        <f>IF(SUM($C$32:G32)-SUM($C$51:G51)&gt;0,SUM($C$32:G32)-SUM($C$51:G51),0)</f>
        <v>0</v>
      </c>
      <c r="H89" s="14">
        <f>IF(SUM($C$32:H32)-SUM($C$51:H51)&gt;0,SUM($C$32:H32)-SUM($C$51:H51),0)</f>
        <v>0</v>
      </c>
      <c r="I89" s="14">
        <f>IF(SUM($C$32:I32)-SUM($C$51:I51)&gt;0,SUM($C$32:I32)-SUM($C$51:I51),0)</f>
        <v>0</v>
      </c>
      <c r="J89" s="14">
        <f>IF(SUM($C$32:J32)-SUM($C$51:J51)&gt;0,SUM($C$32:J32)-SUM($C$51:J51),0)</f>
        <v>0</v>
      </c>
      <c r="K89" s="14">
        <f>IF(SUM($C$32:K32)-SUM($C$51:K51)&gt;0,SUM($C$32:K32)-SUM($C$51:K51),0)</f>
        <v>0</v>
      </c>
      <c r="L89" s="14">
        <f>IF(SUM($C$32:L32)-SUM($C$51:L51)&gt;0,SUM($C$32:L32)-SUM($C$51:L51),0)</f>
        <v>0</v>
      </c>
      <c r="M89" s="14">
        <f>IF(SUM($C$32:M32)-SUM($C$51:M51)&gt;0,SUM($C$32:M32)-SUM($C$51:M51),0)</f>
        <v>0</v>
      </c>
      <c r="N89" s="14">
        <f>IF(SUM($C$32:N32)-SUM($C$51:N51)&gt;0,SUM($C$32:N32)-SUM($C$51:N51),0)</f>
        <v>0</v>
      </c>
      <c r="O89" s="14">
        <f>IF(SUM($C$32:O32)-SUM($C$51:O51)&gt;0,SUM($C$32:O32)-SUM($C$51:O51),0)</f>
        <v>0</v>
      </c>
      <c r="P89" s="14">
        <f>IF(SUM($C$32:P32)-SUM($C$51:P51)&gt;0,SUM($C$32:P32)-SUM($C$51:P51),0)</f>
        <v>0</v>
      </c>
      <c r="Q89" s="14">
        <f>IF(SUM($C$32:Q32)-SUM($C$51:Q51)&gt;0,SUM($C$32:Q32)-SUM($C$51:Q51),0)</f>
        <v>0</v>
      </c>
      <c r="R89" s="14">
        <f>IF(SUM($C$32:R32)-SUM($C$51:R51)&gt;0,SUM($C$32:R32)-SUM($C$51:R51),0)</f>
        <v>0</v>
      </c>
      <c r="S89" s="14">
        <f>IF(SUM($C$32:S32)-SUM($C$51:S51)&gt;0,SUM($C$32:S32)-SUM($C$51:S51),0)</f>
        <v>0</v>
      </c>
      <c r="T89" s="14">
        <f>IF(SUM($C$32:T32)-SUM($C$51:T51)&gt;0,SUM($C$32:T32)-SUM($C$51:T51),0)</f>
        <v>0</v>
      </c>
      <c r="U89" s="14">
        <f>IF(SUM($C$32:U32)-SUM($C$51:U51)&gt;0,SUM($C$32:U32)-SUM($C$51:U51),0)</f>
        <v>0</v>
      </c>
      <c r="V89" s="14">
        <f>IF(SUM($C$32:V32)-SUM($C$51:V51)&gt;0,SUM($C$32:V32)-SUM($C$51:V51),0)</f>
        <v>0</v>
      </c>
      <c r="W89" s="14">
        <f>IF(SUM($C$32:W32)-SUM($C$51:W51)&gt;0,SUM($C$32:W32)-SUM($C$51:W51),0)</f>
        <v>0</v>
      </c>
      <c r="X89" s="14">
        <f>IF(SUM($C$32:X32)-SUM($C$51:X51)&gt;0,SUM($C$32:X32)-SUM($C$51:X51),0)</f>
        <v>0</v>
      </c>
      <c r="Y89" s="14">
        <f>IF(SUM($C$32:Y32)-SUM($C$51:Y51)&gt;0,SUM($C$32:Y32)-SUM($C$51:Y51),0)</f>
        <v>0</v>
      </c>
      <c r="Z89" s="14">
        <f>IF(SUM($C$32:Z32)-SUM($C$51:Z51)&gt;0,SUM($C$32:Z32)-SUM($C$51:Z51),0)</f>
        <v>0</v>
      </c>
      <c r="AA89" s="14">
        <f>IF(SUM($C$32:AA32)-SUM($C$51:AA51)&gt;0,SUM($C$32:AA32)-SUM($C$51:AA51),0)</f>
        <v>0</v>
      </c>
      <c r="AB89" s="14">
        <f>IF(SUM($C$32:AB32)-SUM($C$51:AB51)&gt;0,SUM($C$32:AB32)-SUM($C$51:AB51),0)</f>
        <v>0</v>
      </c>
      <c r="AC89" s="14">
        <f>IF(SUM($C$32:AC32)-SUM($C$51:AC51)&gt;0,SUM($C$32:AC32)-SUM($C$51:AC51),0)</f>
        <v>0</v>
      </c>
      <c r="AD89" s="14">
        <f>IF(SUM($C$32:AD32)-SUM($C$51:AD51)&gt;0,SUM($C$32:AD32)-SUM($C$51:AD51),0)</f>
        <v>0</v>
      </c>
      <c r="AE89" s="14">
        <f>IF(SUM($C$32:AE32)-SUM($C$51:AE51)&gt;0,SUM($C$32:AE32)-SUM($C$51:AE51),0)</f>
        <v>0</v>
      </c>
      <c r="AF89" s="14">
        <f>IF(SUM($C$32:AF32)-SUM($C$51:AF51)&gt;0,SUM($C$32:AF32)-SUM($C$51:AF51),0)</f>
        <v>0</v>
      </c>
      <c r="AG89" s="14">
        <f>IF(SUM($C$32:AG32)-SUM($C$51:AG51)&gt;0,SUM($C$32:AG32)-SUM($C$51:AG51),0)</f>
        <v>0</v>
      </c>
      <c r="AH89" s="14">
        <f>IF(SUM($C$32:AH32)-SUM($C$51:AH51)&gt;0,SUM($C$32:AH32)-SUM($C$51:AH51),0)</f>
        <v>0</v>
      </c>
      <c r="AI89" s="14">
        <f>IF(SUM($C$32:AI32)-SUM($C$51:AI51)&gt;0,SUM($C$32:AI32)-SUM($C$51:AI51),0)</f>
        <v>0</v>
      </c>
      <c r="AJ89" s="14">
        <f>IF(SUM($C$32:AJ32)-SUM($C$51:AJ51)&gt;0,SUM($C$32:AJ32)-SUM($C$51:AJ51),0)</f>
        <v>0</v>
      </c>
      <c r="AK89" s="14">
        <f>IF(SUM($C$32:AK32)-SUM($C$51:AK51)&gt;0,SUM($C$32:AK32)-SUM($C$51:AK51),0)</f>
        <v>0</v>
      </c>
      <c r="AL89" s="14">
        <f>IF(SUM($C$32:AL32)-SUM($C$51:AL51)&gt;0,SUM($C$32:AL32)-SUM($C$51:AL51),0)</f>
        <v>0</v>
      </c>
      <c r="AM89" s="14">
        <f>IF(SUM($C$32:AM32)-SUM($C$51:AM51)&gt;0,SUM($C$32:AM32)-SUM($C$51:AM51),0)</f>
        <v>0</v>
      </c>
      <c r="AN89" s="14">
        <f>IF(SUM($C$32:AN32)-SUM($C$51:AN51)&gt;0,SUM($C$32:AN32)-SUM($C$51:AN51),0)</f>
        <v>0</v>
      </c>
      <c r="AO89" s="14">
        <f>IF(SUM($C$32:AO32)-SUM($C$51:AO51)&gt;0,SUM($C$32:AO32)-SUM($C$51:AO51),0)</f>
        <v>0</v>
      </c>
      <c r="AP89" s="14">
        <f>IF(SUM($C$32:AP32)-SUM($C$51:AP51)&gt;0,SUM($C$32:AP32)-SUM($C$51:AP51),0)</f>
        <v>0</v>
      </c>
      <c r="AQ89" s="14">
        <f>IF(SUM($C$32:AQ32)-SUM($C$51:AQ51)&gt;0,SUM($C$32:AQ32)-SUM($C$51:AQ51),0)</f>
        <v>0</v>
      </c>
      <c r="AR89" s="14">
        <f>IF(SUM($C$32:AR32)-SUM($C$51:AR51)&gt;0,SUM($C$32:AR32)-SUM($C$51:AR51),0)</f>
        <v>0</v>
      </c>
      <c r="AS89" s="14">
        <f>IF(SUM($C$32:AS32)-SUM($C$51:AS51)&gt;0,SUM($C$32:AS32)-SUM($C$51:AS51),0)</f>
        <v>0</v>
      </c>
      <c r="AT89" s="14">
        <f>IF(SUM($C$32:AT32)-SUM($C$51:AT51)&gt;0,SUM($C$32:AT32)-SUM($C$51:AT51),0)</f>
        <v>0</v>
      </c>
      <c r="AU89" s="14">
        <f>IF(SUM($C$32:AU32)-SUM($C$51:AU51)&gt;0,SUM($C$32:AU32)-SUM($C$51:AU51),0)</f>
        <v>0</v>
      </c>
      <c r="AV89" s="14">
        <f>IF(SUM($C$32:AV32)-SUM($C$51:AV51)&gt;0,SUM($C$32:AV32)-SUM($C$51:AV51),0)</f>
        <v>0</v>
      </c>
      <c r="AW89" s="14">
        <f>IF(SUM($C$32:AW32)-SUM($C$51:AW51)&gt;0,SUM($C$32:AW32)-SUM($C$51:AW51),0)</f>
        <v>0</v>
      </c>
      <c r="AX89" s="14">
        <f>IF(SUM($C$32:AX32)-SUM($C$51:AX51)&gt;0,SUM($C$32:AX32)-SUM($C$51:AX51),0)</f>
        <v>0</v>
      </c>
      <c r="AY89" s="14">
        <f>IF(SUM($C$32:AY32)-SUM($C$51:AY51)&gt;0,SUM($C$32:AY32)-SUM($C$51:AY51),0)</f>
        <v>0</v>
      </c>
      <c r="AZ89" s="14">
        <f>IF(SUM($C$32:AZ32)-SUM($C$51:AZ51)&gt;0,SUM($C$32:AZ32)-SUM($C$51:AZ51),0)</f>
        <v>0</v>
      </c>
      <c r="BA89" s="14">
        <f>IF(SUM($C$32:BA32)-SUM($C$51:BA51)&gt;0,SUM($C$32:BA32)-SUM($C$51:BA51),0)</f>
        <v>0</v>
      </c>
      <c r="BB89" s="14">
        <f>IF(SUM($C$32:BB32)-SUM($C$51:BB51)&gt;0,SUM($C$32:BB32)-SUM($C$51:BB51),0)</f>
        <v>0</v>
      </c>
      <c r="BC89" s="14">
        <f>IF(SUM($C$32:BC32)-SUM($C$51:BC51)&gt;0,SUM($C$32:BC32)-SUM($C$51:BC51),0)</f>
        <v>0</v>
      </c>
      <c r="BD89" s="14">
        <f>IF(SUM($C$32:BD32)-SUM($C$51:BD51)&gt;0,SUM($C$32:BD32)-SUM($C$51:BD51),0)</f>
        <v>0</v>
      </c>
      <c r="BE89" s="14">
        <f>IF(SUM($C$32:BE32)-SUM($C$51:BE51)&gt;0,SUM($C$32:BE32)-SUM($C$51:BE51),0)</f>
        <v>0</v>
      </c>
      <c r="BF89" s="14">
        <f>IF(SUM($C$32:BF32)-SUM($C$51:BF51)&gt;0,SUM($C$32:BF32)-SUM($C$51:BF51),0)</f>
        <v>0</v>
      </c>
      <c r="BG89" s="14">
        <f>IF(SUM($C$32:BG32)-SUM($C$51:BG51)&gt;0,SUM($C$32:BG32)-SUM($C$51:BG51),0)</f>
        <v>0</v>
      </c>
      <c r="BH89" s="14">
        <f>IF(SUM($C$32:BH32)-SUM($C$51:BH51)&gt;0,SUM($C$32:BH32)-SUM($C$51:BH51),0)</f>
        <v>0</v>
      </c>
      <c r="BI89" s="14">
        <f>IF(SUM($C$32:BI32)-SUM($C$51:BI51)&gt;0,SUM($C$32:BI32)-SUM($C$51:BI51),0)</f>
        <v>0</v>
      </c>
      <c r="BJ89" s="14">
        <f>IF(SUM($C$32:BJ32)-SUM($C$51:BJ51)&gt;0,SUM($C$32:BJ32)-SUM($C$51:BJ51),0)</f>
        <v>0</v>
      </c>
      <c r="BK89" s="14">
        <f>IF(SUM($C$32:BK32)-SUM($C$51:BK51)&gt;0,SUM($C$32:BK32)-SUM($C$51:BK51),0)</f>
        <v>0</v>
      </c>
      <c r="BL89" s="93">
        <f>IF(SUM($C$32:BL32)-SUM($C$51:BL51)&gt;0,SUM($C$32:BL32)-SUM($C$51:BL51),0)</f>
        <v>0</v>
      </c>
      <c r="BM89" s="93" t="e">
        <f>IF(SUM($C$32:BM32)-SUM($C$51:BM51)&gt;0,SUM($C$32:BM32)-SUM($C$51:BM51),0)</f>
        <v>#DIV/0!</v>
      </c>
      <c r="BN89" s="93" t="e">
        <f>IF(SUM($C$32:BN32)-SUM($C$51:BN51)&gt;0,SUM($C$32:BN32)-SUM($C$51:BN51),0)</f>
        <v>#DIV/0!</v>
      </c>
      <c r="BO89" s="93" t="e">
        <f>IF(SUM($C$32:BO32)-SUM($C$51:BO51)&gt;0,SUM($C$32:BO32)-SUM($C$51:BO51),0)</f>
        <v>#DIV/0!</v>
      </c>
      <c r="BP89" s="93" t="e">
        <f>IF(SUM($C$32:BP32)-SUM($C$51:BP51)&gt;0,SUM($C$32:BP32)-SUM($C$51:BP51),0)</f>
        <v>#DIV/0!</v>
      </c>
      <c r="BQ89" s="93" t="e">
        <f>IF(SUM($C$32:BQ32)-SUM($C$51:BQ51)&gt;0,SUM($C$32:BQ32)-SUM($C$51:BQ51),0)</f>
        <v>#DIV/0!</v>
      </c>
      <c r="BR89" s="93" t="e">
        <f>IF(SUM($C$32:BR32)-SUM($C$51:BR51)&gt;0,SUM($C$32:BR32)-SUM($C$51:BR51),0)</f>
        <v>#DIV/0!</v>
      </c>
      <c r="BS89" s="93" t="e">
        <f>IF(SUM($C$32:BS32)-SUM($C$51:BS51)&gt;0,SUM($C$32:BS32)-SUM($C$51:BS51),0)</f>
        <v>#DIV/0!</v>
      </c>
      <c r="BT89" s="93" t="e">
        <f>IF(SUM($C$32:BT32)-SUM($C$51:BT51)&gt;0,SUM($C$32:BT32)-SUM($C$51:BT51),0)</f>
        <v>#DIV/0!</v>
      </c>
      <c r="BU89" s="93" t="e">
        <f>IF(SUM($C$32:BU32)-SUM($C$51:BU51)&gt;0,SUM($C$32:BU32)-SUM($C$51:BU51),0)</f>
        <v>#DIV/0!</v>
      </c>
      <c r="BV89" s="93" t="e">
        <f>IF(SUM($C$32:BV32)-SUM($C$51:BV51)&gt;0,SUM($C$32:BV32)-SUM($C$51:BV51),0)</f>
        <v>#DIV/0!</v>
      </c>
      <c r="BW89" s="93" t="e">
        <f>IF(SUM($C$32:BW32)-SUM($C$51:BW51)&gt;0,SUM($C$32:BW32)-SUM($C$51:BW51),0)</f>
        <v>#DIV/0!</v>
      </c>
    </row>
    <row r="90" spans="1:75" hidden="1" x14ac:dyDescent="0.3">
      <c r="A90" s="104" t="str">
        <f t="shared" ref="A90:A103" si="30">CONCATENATE("Saldos del crédito"," ",A33)</f>
        <v xml:space="preserve">Saldos del crédito </v>
      </c>
      <c r="B90" s="105"/>
      <c r="C90" s="14">
        <f>IF(SUM(C33:C33)-SUM(C52:C52)&gt;0,SUM(C33:C33)-SUM(C52:C52),0)</f>
        <v>0</v>
      </c>
      <c r="D90" s="14">
        <f>IF(SUM($C$33:D33)-SUM($C$52:D52)&gt;0,SUM($C$33:D33)-SUM($C$52:D52),0)</f>
        <v>0</v>
      </c>
      <c r="E90" s="14">
        <f>IF(SUM($C$33:E33)-SUM($C$52:E52)&gt;0,SUM($C$33:E33)-SUM($C$52:E52),0)</f>
        <v>0</v>
      </c>
      <c r="F90" s="14">
        <f>IF(SUM($C$33:F33)-SUM($C$52:F52)&gt;0,SUM($C$33:F33)-SUM($C$52:F52),0)</f>
        <v>0</v>
      </c>
      <c r="G90" s="14">
        <f>IF(SUM($C$33:G33)-SUM($C$52:G52)&gt;0,SUM($C$33:G33)-SUM($C$52:G52),0)</f>
        <v>0</v>
      </c>
      <c r="H90" s="14">
        <f>IF(SUM($C$33:H33)-SUM($C$52:H52)&gt;0,SUM($C$33:H33)-SUM($C$52:H52),0)</f>
        <v>0</v>
      </c>
      <c r="I90" s="14">
        <f>IF(SUM($C$33:I33)-SUM($C$52:I52)&gt;0,SUM($C$33:I33)-SUM($C$52:I52),0)</f>
        <v>0</v>
      </c>
      <c r="J90" s="14">
        <f>IF(SUM($C$33:J33)-SUM($C$52:J52)&gt;0,SUM($C$33:J33)-SUM($C$52:J52),0)</f>
        <v>0</v>
      </c>
      <c r="K90" s="14">
        <f>IF(SUM($C$33:K33)-SUM($C$52:K52)&gt;0,SUM($C$33:K33)-SUM($C$52:K52),0)</f>
        <v>0</v>
      </c>
      <c r="L90" s="14">
        <f>IF(SUM($C$33:L33)-SUM($C$52:L52)&gt;0,SUM($C$33:L33)-SUM($C$52:L52),0)</f>
        <v>0</v>
      </c>
      <c r="M90" s="14">
        <f>IF(SUM($C$33:M33)-SUM($C$52:M52)&gt;0,SUM($C$33:M33)-SUM($C$52:M52),0)</f>
        <v>0</v>
      </c>
      <c r="N90" s="14">
        <f>IF(SUM($C$33:N33)-SUM($C$52:N52)&gt;0,SUM($C$33:N33)-SUM($C$52:N52),0)</f>
        <v>0</v>
      </c>
      <c r="O90" s="14">
        <f>IF(SUM($C$33:O33)-SUM($C$52:O52)&gt;0,SUM($C$33:O33)-SUM($C$52:O52),0)</f>
        <v>0</v>
      </c>
      <c r="P90" s="14">
        <f>IF(SUM($C$33:P33)-SUM($C$52:P52)&gt;0,SUM($C$33:P33)-SUM($C$52:P52),0)</f>
        <v>0</v>
      </c>
      <c r="Q90" s="14">
        <f>IF(SUM($C$33:Q33)-SUM($C$52:Q52)&gt;0,SUM($C$33:Q33)-SUM($C$52:Q52),0)</f>
        <v>0</v>
      </c>
      <c r="R90" s="14">
        <f>IF(SUM($C$33:R33)-SUM($C$52:R52)&gt;0,SUM($C$33:R33)-SUM($C$52:R52),0)</f>
        <v>0</v>
      </c>
      <c r="S90" s="14">
        <f>IF(SUM($C$33:S33)-SUM($C$52:S52)&gt;0,SUM($C$33:S33)-SUM($C$52:S52),0)</f>
        <v>0</v>
      </c>
      <c r="T90" s="14">
        <f>IF(SUM($C$33:T33)-SUM($C$52:T52)&gt;0,SUM($C$33:T33)-SUM($C$52:T52),0)</f>
        <v>0</v>
      </c>
      <c r="U90" s="14">
        <f>IF(SUM($C$33:U33)-SUM($C$52:U52)&gt;0,SUM($C$33:U33)-SUM($C$52:U52),0)</f>
        <v>0</v>
      </c>
      <c r="V90" s="14">
        <f>IF(SUM($C$33:V33)-SUM($C$52:V52)&gt;0,SUM($C$33:V33)-SUM($C$52:V52),0)</f>
        <v>0</v>
      </c>
      <c r="W90" s="14">
        <f>IF(SUM($C$33:W33)-SUM($C$52:W52)&gt;0,SUM($C$33:W33)-SUM($C$52:W52),0)</f>
        <v>0</v>
      </c>
      <c r="X90" s="14">
        <f>IF(SUM($C$33:X33)-SUM($C$52:X52)&gt;0,SUM($C$33:X33)-SUM($C$52:X52),0)</f>
        <v>0</v>
      </c>
      <c r="Y90" s="14">
        <f>IF(SUM($C$33:Y33)-SUM($C$52:Y52)&gt;0,SUM($C$33:Y33)-SUM($C$52:Y52),0)</f>
        <v>0</v>
      </c>
      <c r="Z90" s="14">
        <f>IF(SUM($C$33:Z33)-SUM($C$52:Z52)&gt;0,SUM($C$33:Z33)-SUM($C$52:Z52),0)</f>
        <v>0</v>
      </c>
      <c r="AA90" s="14">
        <f>IF(SUM($C$33:AA33)-SUM($C$52:AA52)&gt;0,SUM($C$33:AA33)-SUM($C$52:AA52),0)</f>
        <v>0</v>
      </c>
      <c r="AB90" s="14">
        <f>IF(SUM($C$33:AB33)-SUM($C$52:AB52)&gt;0,SUM($C$33:AB33)-SUM($C$52:AB52),0)</f>
        <v>0</v>
      </c>
      <c r="AC90" s="14">
        <f>IF(SUM($C$33:AC33)-SUM($C$52:AC52)&gt;0,SUM($C$33:AC33)-SUM($C$52:AC52),0)</f>
        <v>0</v>
      </c>
      <c r="AD90" s="14">
        <f>IF(SUM($C$33:AD33)-SUM($C$52:AD52)&gt;0,SUM($C$33:AD33)-SUM($C$52:AD52),0)</f>
        <v>0</v>
      </c>
      <c r="AE90" s="14">
        <f>IF(SUM($C$33:AE33)-SUM($C$52:AE52)&gt;0,SUM($C$33:AE33)-SUM($C$52:AE52),0)</f>
        <v>0</v>
      </c>
      <c r="AF90" s="14">
        <f>IF(SUM($C$33:AF33)-SUM($C$52:AF52)&gt;0,SUM($C$33:AF33)-SUM($C$52:AF52),0)</f>
        <v>0</v>
      </c>
      <c r="AG90" s="14">
        <f>IF(SUM($C$33:AG33)-SUM($C$52:AG52)&gt;0,SUM($C$33:AG33)-SUM($C$52:AG52),0)</f>
        <v>0</v>
      </c>
      <c r="AH90" s="14">
        <f>IF(SUM($C$33:AH33)-SUM($C$52:AH52)&gt;0,SUM($C$33:AH33)-SUM($C$52:AH52),0)</f>
        <v>0</v>
      </c>
      <c r="AI90" s="14">
        <f>IF(SUM($C$33:AI33)-SUM($C$52:AI52)&gt;0,SUM($C$33:AI33)-SUM($C$52:AI52),0)</f>
        <v>0</v>
      </c>
      <c r="AJ90" s="14">
        <f>IF(SUM($C$33:AJ33)-SUM($C$52:AJ52)&gt;0,SUM($C$33:AJ33)-SUM($C$52:AJ52),0)</f>
        <v>0</v>
      </c>
      <c r="AK90" s="14">
        <f>IF(SUM($C$33:AK33)-SUM($C$52:AK52)&gt;0,SUM($C$33:AK33)-SUM($C$52:AK52),0)</f>
        <v>0</v>
      </c>
      <c r="AL90" s="14">
        <f>IF(SUM($C$33:AL33)-SUM($C$52:AL52)&gt;0,SUM($C$33:AL33)-SUM($C$52:AL52),0)</f>
        <v>0</v>
      </c>
      <c r="AM90" s="14">
        <f>IF(SUM($C$33:AM33)-SUM($C$52:AM52)&gt;0,SUM($C$33:AM33)-SUM($C$52:AM52),0)</f>
        <v>0</v>
      </c>
      <c r="AN90" s="14">
        <f>IF(SUM($C$33:AN33)-SUM($C$52:AN52)&gt;0,SUM($C$33:AN33)-SUM($C$52:AN52),0)</f>
        <v>0</v>
      </c>
      <c r="AO90" s="14">
        <f>IF(SUM($C$33:AO33)-SUM($C$52:AO52)&gt;0,SUM($C$33:AO33)-SUM($C$52:AO52),0)</f>
        <v>0</v>
      </c>
      <c r="AP90" s="14">
        <f>IF(SUM($C$33:AP33)-SUM($C$52:AP52)&gt;0,SUM($C$33:AP33)-SUM($C$52:AP52),0)</f>
        <v>0</v>
      </c>
      <c r="AQ90" s="14">
        <f>IF(SUM($C$33:AQ33)-SUM($C$52:AQ52)&gt;0,SUM($C$33:AQ33)-SUM($C$52:AQ52),0)</f>
        <v>0</v>
      </c>
      <c r="AR90" s="14">
        <f>IF(SUM($C$33:AR33)-SUM($C$52:AR52)&gt;0,SUM($C$33:AR33)-SUM($C$52:AR52),0)</f>
        <v>0</v>
      </c>
      <c r="AS90" s="14">
        <f>IF(SUM($C$33:AS33)-SUM($C$52:AS52)&gt;0,SUM($C$33:AS33)-SUM($C$52:AS52),0)</f>
        <v>0</v>
      </c>
      <c r="AT90" s="14">
        <f>IF(SUM($C$33:AT33)-SUM($C$52:AT52)&gt;0,SUM($C$33:AT33)-SUM($C$52:AT52),0)</f>
        <v>0</v>
      </c>
      <c r="AU90" s="14">
        <f>IF(SUM($C$33:AU33)-SUM($C$52:AU52)&gt;0,SUM($C$33:AU33)-SUM($C$52:AU52),0)</f>
        <v>0</v>
      </c>
      <c r="AV90" s="14">
        <f>IF(SUM($C$33:AV33)-SUM($C$52:AV52)&gt;0,SUM($C$33:AV33)-SUM($C$52:AV52),0)</f>
        <v>0</v>
      </c>
      <c r="AW90" s="14">
        <f>IF(SUM($C$33:AW33)-SUM($C$52:AW52)&gt;0,SUM($C$33:AW33)-SUM($C$52:AW52),0)</f>
        <v>0</v>
      </c>
      <c r="AX90" s="14">
        <f>IF(SUM($C$33:AX33)-SUM($C$52:AX52)&gt;0,SUM($C$33:AX33)-SUM($C$52:AX52),0)</f>
        <v>0</v>
      </c>
      <c r="AY90" s="14">
        <f>IF(SUM($C$33:AY33)-SUM($C$52:AY52)&gt;0,SUM($C$33:AY33)-SUM($C$52:AY52),0)</f>
        <v>0</v>
      </c>
      <c r="AZ90" s="14">
        <f>IF(SUM($C$33:AZ33)-SUM($C$52:AZ52)&gt;0,SUM($C$33:AZ33)-SUM($C$52:AZ52),0)</f>
        <v>0</v>
      </c>
      <c r="BA90" s="14">
        <f>IF(SUM($C$33:BA33)-SUM($C$52:BA52)&gt;0,SUM($C$33:BA33)-SUM($C$52:BA52),0)</f>
        <v>0</v>
      </c>
      <c r="BB90" s="14">
        <f>IF(SUM($C$33:BB33)-SUM($C$52:BB52)&gt;0,SUM($C$33:BB33)-SUM($C$52:BB52),0)</f>
        <v>0</v>
      </c>
      <c r="BC90" s="14">
        <f>IF(SUM($C$33:BC33)-SUM($C$52:BC52)&gt;0,SUM($C$33:BC33)-SUM($C$52:BC52),0)</f>
        <v>0</v>
      </c>
      <c r="BD90" s="14">
        <f>IF(SUM($C$33:BD33)-SUM($C$52:BD52)&gt;0,SUM($C$33:BD33)-SUM($C$52:BD52),0)</f>
        <v>0</v>
      </c>
      <c r="BE90" s="14">
        <f>IF(SUM($C$33:BE33)-SUM($C$52:BE52)&gt;0,SUM($C$33:BE33)-SUM($C$52:BE52),0)</f>
        <v>0</v>
      </c>
      <c r="BF90" s="14">
        <f>IF(SUM($C$33:BF33)-SUM($C$52:BF52)&gt;0,SUM($C$33:BF33)-SUM($C$52:BF52),0)</f>
        <v>0</v>
      </c>
      <c r="BG90" s="14">
        <f>IF(SUM($C$33:BG33)-SUM($C$52:BG52)&gt;0,SUM($C$33:BG33)-SUM($C$52:BG52),0)</f>
        <v>0</v>
      </c>
      <c r="BH90" s="14">
        <f>IF(SUM($C$33:BH33)-SUM($C$52:BH52)&gt;0,SUM($C$33:BH33)-SUM($C$52:BH52),0)</f>
        <v>0</v>
      </c>
      <c r="BI90" s="14">
        <f>IF(SUM($C$33:BI33)-SUM($C$52:BI52)&gt;0,SUM($C$33:BI33)-SUM($C$52:BI52),0)</f>
        <v>0</v>
      </c>
      <c r="BJ90" s="14">
        <f>IF(SUM($C$33:BJ33)-SUM($C$52:BJ52)&gt;0,SUM($C$33:BJ33)-SUM($C$52:BJ52),0)</f>
        <v>0</v>
      </c>
      <c r="BK90" s="14">
        <f>IF(SUM($C$33:BK33)-SUM($C$52:BK52)&gt;0,SUM($C$33:BK33)-SUM($C$52:BK52),0)</f>
        <v>0</v>
      </c>
      <c r="BL90" s="93">
        <f>IF(SUM($C$33:BL33)-SUM($C$52:BL52)&gt;0,SUM($C$33:BL33)-SUM($C$52:BL52),0)</f>
        <v>0</v>
      </c>
      <c r="BM90" s="93" t="e">
        <f>IF(SUM($C$33:BM33)-SUM($C$52:BM52)&gt;0,SUM($C$33:BM33)-SUM($C$52:BM52),0)</f>
        <v>#DIV/0!</v>
      </c>
      <c r="BN90" s="93" t="e">
        <f>IF(SUM($C$33:BN33)-SUM($C$52:BN52)&gt;0,SUM($C$33:BN33)-SUM($C$52:BN52),0)</f>
        <v>#DIV/0!</v>
      </c>
      <c r="BO90" s="93" t="e">
        <f>IF(SUM($C$33:BO33)-SUM($C$52:BO52)&gt;0,SUM($C$33:BO33)-SUM($C$52:BO52),0)</f>
        <v>#DIV/0!</v>
      </c>
      <c r="BP90" s="93" t="e">
        <f>IF(SUM($C$33:BP33)-SUM($C$52:BP52)&gt;0,SUM($C$33:BP33)-SUM($C$52:BP52),0)</f>
        <v>#DIV/0!</v>
      </c>
      <c r="BQ90" s="93" t="e">
        <f>IF(SUM($C$33:BQ33)-SUM($C$52:BQ52)&gt;0,SUM($C$33:BQ33)-SUM($C$52:BQ52),0)</f>
        <v>#DIV/0!</v>
      </c>
      <c r="BR90" s="93" t="e">
        <f>IF(SUM($C$33:BR33)-SUM($C$52:BR52)&gt;0,SUM($C$33:BR33)-SUM($C$52:BR52),0)</f>
        <v>#DIV/0!</v>
      </c>
      <c r="BS90" s="93" t="e">
        <f>IF(SUM($C$33:BS33)-SUM($C$52:BS52)&gt;0,SUM($C$33:BS33)-SUM($C$52:BS52),0)</f>
        <v>#DIV/0!</v>
      </c>
      <c r="BT90" s="93" t="e">
        <f>IF(SUM($C$33:BT33)-SUM($C$52:BT52)&gt;0,SUM($C$33:BT33)-SUM($C$52:BT52),0)</f>
        <v>#DIV/0!</v>
      </c>
      <c r="BU90" s="93" t="e">
        <f>IF(SUM($C$33:BU33)-SUM($C$52:BU52)&gt;0,SUM($C$33:BU33)-SUM($C$52:BU52),0)</f>
        <v>#DIV/0!</v>
      </c>
      <c r="BV90" s="93" t="e">
        <f>IF(SUM($C$33:BV33)-SUM($C$52:BV52)&gt;0,SUM($C$33:BV33)-SUM($C$52:BV52),0)</f>
        <v>#DIV/0!</v>
      </c>
      <c r="BW90" s="93" t="e">
        <f>IF(SUM($C$33:BW33)-SUM($C$52:BW52)&gt;0,SUM($C$33:BW33)-SUM($C$52:BW52),0)</f>
        <v>#DIV/0!</v>
      </c>
    </row>
    <row r="91" spans="1:75" hidden="1" x14ac:dyDescent="0.3">
      <c r="A91" s="104" t="str">
        <f t="shared" si="30"/>
        <v xml:space="preserve">Saldos del crédito </v>
      </c>
      <c r="B91" s="105"/>
      <c r="C91" s="14">
        <f>IF(SUM($C$34:C34)-SUM($C$53:C53)&gt;0,SUM($C$34:C34)-SUM($C$53:C53),0)</f>
        <v>0</v>
      </c>
      <c r="D91" s="14">
        <f>IF(SUM($C$34:D34)-SUM($C$53:D53)&gt;0,SUM($C$34:D34)-SUM($C$53:D53),0)</f>
        <v>0</v>
      </c>
      <c r="E91" s="14">
        <f>IF(SUM($C$34:E34)-SUM($C$53:E53)&gt;0,SUM($C$34:E34)-SUM($C$53:E53),0)</f>
        <v>0</v>
      </c>
      <c r="F91" s="14">
        <f>IF(SUM($C$34:F34)-SUM($C$53:F53)&gt;0,SUM($C$34:F34)-SUM($C$53:F53),0)</f>
        <v>0</v>
      </c>
      <c r="G91" s="14">
        <f>IF(SUM($C$34:G34)-SUM($C$53:G53)&gt;0,SUM($C$34:G34)-SUM($C$53:G53),0)</f>
        <v>0</v>
      </c>
      <c r="H91" s="14">
        <f>IF(SUM($C$34:H34)-SUM($C$53:H53)&gt;0,SUM($C$34:H34)-SUM($C$53:H53),0)</f>
        <v>0</v>
      </c>
      <c r="I91" s="14">
        <f>IF(SUM($C$34:I34)-SUM($C$53:I53)&gt;0,SUM($C$34:I34)-SUM($C$53:I53),0)</f>
        <v>0</v>
      </c>
      <c r="J91" s="14">
        <f>IF(SUM($C$34:J34)-SUM($C$53:J53)&gt;0,SUM($C$34:J34)-SUM($C$53:J53),0)</f>
        <v>0</v>
      </c>
      <c r="K91" s="14">
        <f>IF(SUM($C$34:K34)-SUM($C$53:K53)&gt;0,SUM($C$34:K34)-SUM($C$53:K53),0)</f>
        <v>0</v>
      </c>
      <c r="L91" s="14">
        <f>IF(SUM($C$34:L34)-SUM($C$53:L53)&gt;0,SUM($C$34:L34)-SUM($C$53:L53),0)</f>
        <v>0</v>
      </c>
      <c r="M91" s="14">
        <f>IF(SUM($C$34:M34)-SUM($C$53:M53)&gt;0,SUM($C$34:M34)-SUM($C$53:M53),0)</f>
        <v>0</v>
      </c>
      <c r="N91" s="14">
        <f>IF(SUM($C$34:N34)-SUM($C$53:N53)&gt;0,SUM($C$34:N34)-SUM($C$53:N53),0)</f>
        <v>0</v>
      </c>
      <c r="O91" s="14">
        <f>IF(SUM($C$34:O34)-SUM($C$53:O53)&gt;0,SUM($C$34:O34)-SUM($C$53:O53),0)</f>
        <v>0</v>
      </c>
      <c r="P91" s="14">
        <f>IF(SUM($C$34:P34)-SUM($C$53:P53)&gt;0,SUM($C$34:P34)-SUM($C$53:P53),0)</f>
        <v>0</v>
      </c>
      <c r="Q91" s="14">
        <f>IF(SUM($C$34:Q34)-SUM($C$53:Q53)&gt;0,SUM($C$34:Q34)-SUM($C$53:Q53),0)</f>
        <v>0</v>
      </c>
      <c r="R91" s="14">
        <f>IF(SUM($C$34:R34)-SUM($C$53:R53)&gt;0,SUM($C$34:R34)-SUM($C$53:R53),0)</f>
        <v>0</v>
      </c>
      <c r="S91" s="14">
        <f>IF(SUM($C$34:S34)-SUM($C$53:S53)&gt;0,SUM($C$34:S34)-SUM($C$53:S53),0)</f>
        <v>0</v>
      </c>
      <c r="T91" s="14">
        <f>IF(SUM($C$34:T34)-SUM($C$53:T53)&gt;0,SUM($C$34:T34)-SUM($C$53:T53),0)</f>
        <v>0</v>
      </c>
      <c r="U91" s="14">
        <f>IF(SUM($C$34:U34)-SUM($C$53:U53)&gt;0,SUM($C$34:U34)-SUM($C$53:U53),0)</f>
        <v>0</v>
      </c>
      <c r="V91" s="14">
        <f>IF(SUM($C$34:V34)-SUM($C$53:V53)&gt;0,SUM($C$34:V34)-SUM($C$53:V53),0)</f>
        <v>0</v>
      </c>
      <c r="W91" s="14">
        <f>IF(SUM($C$34:W34)-SUM($C$53:W53)&gt;0,SUM($C$34:W34)-SUM($C$53:W53),0)</f>
        <v>0</v>
      </c>
      <c r="X91" s="14">
        <f>IF(SUM($C$34:X34)-SUM($C$53:X53)&gt;0,SUM($C$34:X34)-SUM($C$53:X53),0)</f>
        <v>0</v>
      </c>
      <c r="Y91" s="14">
        <f>IF(SUM($C$34:Y34)-SUM($C$53:Y53)&gt;0,SUM($C$34:Y34)-SUM($C$53:Y53),0)</f>
        <v>0</v>
      </c>
      <c r="Z91" s="14">
        <f>IF(SUM($C$34:Z34)-SUM($C$53:Z53)&gt;0,SUM($C$34:Z34)-SUM($C$53:Z53),0)</f>
        <v>0</v>
      </c>
      <c r="AA91" s="14">
        <f>IF(SUM($C$34:AA34)-SUM($C$53:AA53)&gt;0,SUM($C$34:AA34)-SUM($C$53:AA53),0)</f>
        <v>0</v>
      </c>
      <c r="AB91" s="14">
        <f>IF(SUM($C$34:AB34)-SUM($C$53:AB53)&gt;0,SUM($C$34:AB34)-SUM($C$53:AB53),0)</f>
        <v>0</v>
      </c>
      <c r="AC91" s="14">
        <f>IF(SUM($C$34:AC34)-SUM($C$53:AC53)&gt;0,SUM($C$34:AC34)-SUM($C$53:AC53),0)</f>
        <v>0</v>
      </c>
      <c r="AD91" s="14">
        <f>IF(SUM($C$34:AD34)-SUM($C$53:AD53)&gt;0,SUM($C$34:AD34)-SUM($C$53:AD53),0)</f>
        <v>0</v>
      </c>
      <c r="AE91" s="14">
        <f>IF(SUM($C$34:AE34)-SUM($C$53:AE53)&gt;0,SUM($C$34:AE34)-SUM($C$53:AE53),0)</f>
        <v>0</v>
      </c>
      <c r="AF91" s="14">
        <f>IF(SUM($C$34:AF34)-SUM($C$53:AF53)&gt;0,SUM($C$34:AF34)-SUM($C$53:AF53),0)</f>
        <v>0</v>
      </c>
      <c r="AG91" s="14">
        <f>IF(SUM($C$34:AG34)-SUM($C$53:AG53)&gt;0,SUM($C$34:AG34)-SUM($C$53:AG53),0)</f>
        <v>0</v>
      </c>
      <c r="AH91" s="14">
        <f>IF(SUM($C$34:AH34)-SUM($C$53:AH53)&gt;0,SUM($C$34:AH34)-SUM($C$53:AH53),0)</f>
        <v>0</v>
      </c>
      <c r="AI91" s="14">
        <f>IF(SUM($C$34:AI34)-SUM($C$53:AI53)&gt;0,SUM($C$34:AI34)-SUM($C$53:AI53),0)</f>
        <v>0</v>
      </c>
      <c r="AJ91" s="14">
        <f>IF(SUM($C$34:AJ34)-SUM($C$53:AJ53)&gt;0,SUM($C$34:AJ34)-SUM($C$53:AJ53),0)</f>
        <v>0</v>
      </c>
      <c r="AK91" s="14">
        <f>IF(SUM($C$34:AK34)-SUM($C$53:AK53)&gt;0,SUM($C$34:AK34)-SUM($C$53:AK53),0)</f>
        <v>0</v>
      </c>
      <c r="AL91" s="14">
        <f>IF(SUM($C$34:AL34)-SUM($C$53:AL53)&gt;0,SUM($C$34:AL34)-SUM($C$53:AL53),0)</f>
        <v>0</v>
      </c>
      <c r="AM91" s="14">
        <f>IF(SUM($C$34:AM34)-SUM($C$53:AM53)&gt;0,SUM($C$34:AM34)-SUM($C$53:AM53),0)</f>
        <v>0</v>
      </c>
      <c r="AN91" s="14">
        <f>IF(SUM($C$34:AN34)-SUM($C$53:AN53)&gt;0,SUM($C$34:AN34)-SUM($C$53:AN53),0)</f>
        <v>0</v>
      </c>
      <c r="AO91" s="14">
        <f>IF(SUM($C$34:AO34)-SUM($C$53:AO53)&gt;0,SUM($C$34:AO34)-SUM($C$53:AO53),0)</f>
        <v>0</v>
      </c>
      <c r="AP91" s="14">
        <f>IF(SUM($C$34:AP34)-SUM($C$53:AP53)&gt;0,SUM($C$34:AP34)-SUM($C$53:AP53),0)</f>
        <v>0</v>
      </c>
      <c r="AQ91" s="14">
        <f>IF(SUM($C$34:AQ34)-SUM($C$53:AQ53)&gt;0,SUM($C$34:AQ34)-SUM($C$53:AQ53),0)</f>
        <v>0</v>
      </c>
      <c r="AR91" s="14">
        <f>IF(SUM($C$34:AR34)-SUM($C$53:AR53)&gt;0,SUM($C$34:AR34)-SUM($C$53:AR53),0)</f>
        <v>0</v>
      </c>
      <c r="AS91" s="14">
        <f>IF(SUM($C$34:AS34)-SUM($C$53:AS53)&gt;0,SUM($C$34:AS34)-SUM($C$53:AS53),0)</f>
        <v>0</v>
      </c>
      <c r="AT91" s="14">
        <f>IF(SUM($C$34:AT34)-SUM($C$53:AT53)&gt;0,SUM($C$34:AT34)-SUM($C$53:AT53),0)</f>
        <v>0</v>
      </c>
      <c r="AU91" s="14">
        <f>IF(SUM($C$34:AU34)-SUM($C$53:AU53)&gt;0,SUM($C$34:AU34)-SUM($C$53:AU53),0)</f>
        <v>0</v>
      </c>
      <c r="AV91" s="14">
        <f>IF(SUM($C$34:AV34)-SUM($C$53:AV53)&gt;0,SUM($C$34:AV34)-SUM($C$53:AV53),0)</f>
        <v>0</v>
      </c>
      <c r="AW91" s="14">
        <f>IF(SUM($C$34:AW34)-SUM($C$53:AW53)&gt;0,SUM($C$34:AW34)-SUM($C$53:AW53),0)</f>
        <v>0</v>
      </c>
      <c r="AX91" s="14">
        <f>IF(SUM($C$34:AX34)-SUM($C$53:AX53)&gt;0,SUM($C$34:AX34)-SUM($C$53:AX53),0)</f>
        <v>0</v>
      </c>
      <c r="AY91" s="14">
        <f>IF(SUM($C$34:AY34)-SUM($C$53:AY53)&gt;0,SUM($C$34:AY34)-SUM($C$53:AY53),0)</f>
        <v>0</v>
      </c>
      <c r="AZ91" s="14">
        <f>IF(SUM($C$34:AZ34)-SUM($C$53:AZ53)&gt;0,SUM($C$34:AZ34)-SUM($C$53:AZ53),0)</f>
        <v>0</v>
      </c>
      <c r="BA91" s="14">
        <f>IF(SUM($C$34:BA34)-SUM($C$53:BA53)&gt;0,SUM($C$34:BA34)-SUM($C$53:BA53),0)</f>
        <v>0</v>
      </c>
      <c r="BB91" s="14">
        <f>IF(SUM($C$34:BB34)-SUM($C$53:BB53)&gt;0,SUM($C$34:BB34)-SUM($C$53:BB53),0)</f>
        <v>0</v>
      </c>
      <c r="BC91" s="14">
        <f>IF(SUM($C$34:BC34)-SUM($C$53:BC53)&gt;0,SUM($C$34:BC34)-SUM($C$53:BC53),0)</f>
        <v>0</v>
      </c>
      <c r="BD91" s="14">
        <f>IF(SUM($C$34:BD34)-SUM($C$53:BD53)&gt;0,SUM($C$34:BD34)-SUM($C$53:BD53),0)</f>
        <v>0</v>
      </c>
      <c r="BE91" s="14">
        <f>IF(SUM($C$34:BE34)-SUM($C$53:BE53)&gt;0,SUM($C$34:BE34)-SUM($C$53:BE53),0)</f>
        <v>0</v>
      </c>
      <c r="BF91" s="14">
        <f>IF(SUM($C$34:BF34)-SUM($C$53:BF53)&gt;0,SUM($C$34:BF34)-SUM($C$53:BF53),0)</f>
        <v>0</v>
      </c>
      <c r="BG91" s="14">
        <f>IF(SUM($C$34:BG34)-SUM($C$53:BG53)&gt;0,SUM($C$34:BG34)-SUM($C$53:BG53),0)</f>
        <v>0</v>
      </c>
      <c r="BH91" s="14">
        <f>IF(SUM($C$34:BH34)-SUM($C$53:BH53)&gt;0,SUM($C$34:BH34)-SUM($C$53:BH53),0)</f>
        <v>0</v>
      </c>
      <c r="BI91" s="14">
        <f>IF(SUM($C$34:BI34)-SUM($C$53:BI53)&gt;0,SUM($C$34:BI34)-SUM($C$53:BI53),0)</f>
        <v>0</v>
      </c>
      <c r="BJ91" s="14">
        <f>IF(SUM($C$34:BJ34)-SUM($C$53:BJ53)&gt;0,SUM($C$34:BJ34)-SUM($C$53:BJ53),0)</f>
        <v>0</v>
      </c>
      <c r="BK91" s="14">
        <f>IF(SUM($C$34:BK34)-SUM($C$53:BK53)&gt;0,SUM($C$34:BK34)-SUM($C$53:BK53),0)</f>
        <v>0</v>
      </c>
      <c r="BL91" s="93">
        <f>IF(SUM($C$34:BL34)-SUM($C$53:BL53)&gt;0,SUM($C$34:BL34)-SUM($C$53:BL53),0)</f>
        <v>0</v>
      </c>
      <c r="BM91" s="93" t="e">
        <f>IF(SUM($C$34:BM34)-SUM($C$53:BM53)&gt;0,SUM($C$34:BM34)-SUM($C$53:BM53),0)</f>
        <v>#DIV/0!</v>
      </c>
      <c r="BN91" s="93" t="e">
        <f>IF(SUM($C$34:BN34)-SUM($C$53:BN53)&gt;0,SUM($C$34:BN34)-SUM($C$53:BN53),0)</f>
        <v>#DIV/0!</v>
      </c>
      <c r="BO91" s="93" t="e">
        <f>IF(SUM($C$34:BO34)-SUM($C$53:BO53)&gt;0,SUM($C$34:BO34)-SUM($C$53:BO53),0)</f>
        <v>#DIV/0!</v>
      </c>
      <c r="BP91" s="93" t="e">
        <f>IF(SUM($C$34:BP34)-SUM($C$53:BP53)&gt;0,SUM($C$34:BP34)-SUM($C$53:BP53),0)</f>
        <v>#DIV/0!</v>
      </c>
      <c r="BQ91" s="93" t="e">
        <f>IF(SUM($C$34:BQ34)-SUM($C$53:BQ53)&gt;0,SUM($C$34:BQ34)-SUM($C$53:BQ53),0)</f>
        <v>#DIV/0!</v>
      </c>
      <c r="BR91" s="93" t="e">
        <f>IF(SUM($C$34:BR34)-SUM($C$53:BR53)&gt;0,SUM($C$34:BR34)-SUM($C$53:BR53),0)</f>
        <v>#DIV/0!</v>
      </c>
      <c r="BS91" s="93" t="e">
        <f>IF(SUM($C$34:BS34)-SUM($C$53:BS53)&gt;0,SUM($C$34:BS34)-SUM($C$53:BS53),0)</f>
        <v>#DIV/0!</v>
      </c>
      <c r="BT91" s="93" t="e">
        <f>IF(SUM($C$34:BT34)-SUM($C$53:BT53)&gt;0,SUM($C$34:BT34)-SUM($C$53:BT53),0)</f>
        <v>#DIV/0!</v>
      </c>
      <c r="BU91" s="93" t="e">
        <f>IF(SUM($C$34:BU34)-SUM($C$53:BU53)&gt;0,SUM($C$34:BU34)-SUM($C$53:BU53),0)</f>
        <v>#DIV/0!</v>
      </c>
      <c r="BV91" s="93" t="e">
        <f>IF(SUM($C$34:BV34)-SUM($C$53:BV53)&gt;0,SUM($C$34:BV34)-SUM($C$53:BV53),0)</f>
        <v>#DIV/0!</v>
      </c>
      <c r="BW91" s="93" t="e">
        <f>IF(SUM($C$34:BW34)-SUM($C$53:BW53)&gt;0,SUM($C$34:BW34)-SUM($C$53:BW53),0)</f>
        <v>#DIV/0!</v>
      </c>
    </row>
    <row r="92" spans="1:75" hidden="1" x14ac:dyDescent="0.3">
      <c r="A92" s="104" t="str">
        <f t="shared" si="30"/>
        <v xml:space="preserve">Saldos del crédito </v>
      </c>
      <c r="B92" s="105"/>
      <c r="C92" s="14">
        <f>IF(SUM($C$35:C35)-SUM($C$54:C54)&gt;0,SUM($C$35:C35)-SUM($C$54:C54),0)</f>
        <v>0</v>
      </c>
      <c r="D92" s="14">
        <f>IF(SUM($C$35:D35)-SUM($C$54:D54)&gt;0,SUM($C$35:D35)-SUM($C$54:D54),0)</f>
        <v>0</v>
      </c>
      <c r="E92" s="14">
        <f>IF(SUM($C$35:E35)-SUM($C$54:E54)&gt;0,SUM($C$35:E35)-SUM($C$54:E54),0)</f>
        <v>0</v>
      </c>
      <c r="F92" s="14">
        <f>IF(SUM($C$35:F35)-SUM($C$54:F54)&gt;0,SUM($C$35:F35)-SUM($C$54:F54),0)</f>
        <v>0</v>
      </c>
      <c r="G92" s="14">
        <f>IF(SUM($C$35:G35)-SUM($C$54:G54)&gt;0,SUM($C$35:G35)-SUM($C$54:G54),0)</f>
        <v>0</v>
      </c>
      <c r="H92" s="14">
        <f>IF(SUM($C$35:H35)-SUM($C$54:H54)&gt;0,SUM($C$35:H35)-SUM($C$54:H54),0)</f>
        <v>0</v>
      </c>
      <c r="I92" s="14">
        <f>IF(SUM($C$35:I35)-SUM($C$54:I54)&gt;0,SUM($C$35:I35)-SUM($C$54:I54),0)</f>
        <v>0</v>
      </c>
      <c r="J92" s="14">
        <f>IF(SUM($C$35:J35)-SUM($C$54:J54)&gt;0,SUM($C$35:J35)-SUM($C$54:J54),0)</f>
        <v>0</v>
      </c>
      <c r="K92" s="14">
        <f>IF(SUM($C$35:K35)-SUM($C$54:K54)&gt;0,SUM($C$35:K35)-SUM($C$54:K54),0)</f>
        <v>0</v>
      </c>
      <c r="L92" s="14">
        <f>IF(SUM($C$35:L35)-SUM($C$54:L54)&gt;0,SUM($C$35:L35)-SUM($C$54:L54),0)</f>
        <v>0</v>
      </c>
      <c r="M92" s="14">
        <f>IF(SUM($C$35:M35)-SUM($C$54:M54)&gt;0,SUM($C$35:M35)-SUM($C$54:M54),0)</f>
        <v>0</v>
      </c>
      <c r="N92" s="14">
        <f>IF(SUM($C$35:N35)-SUM($C$54:N54)&gt;0,SUM($C$35:N35)-SUM($C$54:N54),0)</f>
        <v>0</v>
      </c>
      <c r="O92" s="14">
        <f>IF(SUM($C$35:O35)-SUM($C$54:O54)&gt;0,SUM($C$35:O35)-SUM($C$54:O54),0)</f>
        <v>0</v>
      </c>
      <c r="P92" s="14">
        <f>IF(SUM($C$35:P35)-SUM($C$54:P54)&gt;0,SUM($C$35:P35)-SUM($C$54:P54),0)</f>
        <v>0</v>
      </c>
      <c r="Q92" s="14">
        <f>IF(SUM($C$35:Q35)-SUM($C$54:Q54)&gt;0,SUM($C$35:Q35)-SUM($C$54:Q54),0)</f>
        <v>0</v>
      </c>
      <c r="R92" s="14">
        <f>IF(SUM($C$35:R35)-SUM($C$54:R54)&gt;0,SUM($C$35:R35)-SUM($C$54:R54),0)</f>
        <v>0</v>
      </c>
      <c r="S92" s="14">
        <f>IF(SUM($C$35:S35)-SUM($C$54:S54)&gt;0,SUM($C$35:S35)-SUM($C$54:S54),0)</f>
        <v>0</v>
      </c>
      <c r="T92" s="14">
        <f>IF(SUM($C$35:T35)-SUM($C$54:T54)&gt;0,SUM($C$35:T35)-SUM($C$54:T54),0)</f>
        <v>0</v>
      </c>
      <c r="U92" s="14">
        <f>IF(SUM($C$35:U35)-SUM($C$54:U54)&gt;0,SUM($C$35:U35)-SUM($C$54:U54),0)</f>
        <v>0</v>
      </c>
      <c r="V92" s="14">
        <f>IF(SUM($C$35:V35)-SUM($C$54:V54)&gt;0,SUM($C$35:V35)-SUM($C$54:V54),0)</f>
        <v>0</v>
      </c>
      <c r="W92" s="14">
        <f>IF(SUM($C$35:W35)-SUM($C$54:W54)&gt;0,SUM($C$35:W35)-SUM($C$54:W54),0)</f>
        <v>0</v>
      </c>
      <c r="X92" s="14">
        <f>IF(SUM($C$35:X35)-SUM($C$54:X54)&gt;0,SUM($C$35:X35)-SUM($C$54:X54),0)</f>
        <v>0</v>
      </c>
      <c r="Y92" s="14">
        <f>IF(SUM($C$35:Y35)-SUM($C$54:Y54)&gt;0,SUM($C$35:Y35)-SUM($C$54:Y54),0)</f>
        <v>0</v>
      </c>
      <c r="Z92" s="14">
        <f>IF(SUM($C$35:Z35)-SUM($C$54:Z54)&gt;0,SUM($C$35:Z35)-SUM($C$54:Z54),0)</f>
        <v>0</v>
      </c>
      <c r="AA92" s="14">
        <f>IF(SUM($C$35:AA35)-SUM($C$54:AA54)&gt;0,SUM($C$35:AA35)-SUM($C$54:AA54),0)</f>
        <v>0</v>
      </c>
      <c r="AB92" s="14">
        <f>IF(SUM($C$35:AB35)-SUM($C$54:AB54)&gt;0,SUM($C$35:AB35)-SUM($C$54:AB54),0)</f>
        <v>0</v>
      </c>
      <c r="AC92" s="14">
        <f>IF(SUM($C$35:AC35)-SUM($C$54:AC54)&gt;0,SUM($C$35:AC35)-SUM($C$54:AC54),0)</f>
        <v>0</v>
      </c>
      <c r="AD92" s="14">
        <f>IF(SUM($C$35:AD35)-SUM($C$54:AD54)&gt;0,SUM($C$35:AD35)-SUM($C$54:AD54),0)</f>
        <v>0</v>
      </c>
      <c r="AE92" s="14">
        <f>IF(SUM($C$35:AE35)-SUM($C$54:AE54)&gt;0,SUM($C$35:AE35)-SUM($C$54:AE54),0)</f>
        <v>0</v>
      </c>
      <c r="AF92" s="14">
        <f>IF(SUM($C$35:AF35)-SUM($C$54:AF54)&gt;0,SUM($C$35:AF35)-SUM($C$54:AF54),0)</f>
        <v>0</v>
      </c>
      <c r="AG92" s="14">
        <f>IF(SUM($C$35:AG35)-SUM($C$54:AG54)&gt;0,SUM($C$35:AG35)-SUM($C$54:AG54),0)</f>
        <v>0</v>
      </c>
      <c r="AH92" s="14">
        <f>IF(SUM($C$35:AH35)-SUM($C$54:AH54)&gt;0,SUM($C$35:AH35)-SUM($C$54:AH54),0)</f>
        <v>0</v>
      </c>
      <c r="AI92" s="14">
        <f>IF(SUM($C$35:AI35)-SUM($C$54:AI54)&gt;0,SUM($C$35:AI35)-SUM($C$54:AI54),0)</f>
        <v>0</v>
      </c>
      <c r="AJ92" s="14">
        <f>IF(SUM($C$35:AJ35)-SUM($C$54:AJ54)&gt;0,SUM($C$35:AJ35)-SUM($C$54:AJ54),0)</f>
        <v>0</v>
      </c>
      <c r="AK92" s="14">
        <f>IF(SUM($C$35:AK35)-SUM($C$54:AK54)&gt;0,SUM($C$35:AK35)-SUM($C$54:AK54),0)</f>
        <v>0</v>
      </c>
      <c r="AL92" s="14">
        <f>IF(SUM($C$35:AL35)-SUM($C$54:AL54)&gt;0,SUM($C$35:AL35)-SUM($C$54:AL54),0)</f>
        <v>0</v>
      </c>
      <c r="AM92" s="14">
        <f>IF(SUM($C$35:AM35)-SUM($C$54:AM54)&gt;0,SUM($C$35:AM35)-SUM($C$54:AM54),0)</f>
        <v>0</v>
      </c>
      <c r="AN92" s="14">
        <f>IF(SUM($C$35:AN35)-SUM($C$54:AN54)&gt;0,SUM($C$35:AN35)-SUM($C$54:AN54),0)</f>
        <v>0</v>
      </c>
      <c r="AO92" s="14">
        <f>IF(SUM($C$35:AO35)-SUM($C$54:AO54)&gt;0,SUM($C$35:AO35)-SUM($C$54:AO54),0)</f>
        <v>0</v>
      </c>
      <c r="AP92" s="14">
        <f>IF(SUM($C$35:AP35)-SUM($C$54:AP54)&gt;0,SUM($C$35:AP35)-SUM($C$54:AP54),0)</f>
        <v>0</v>
      </c>
      <c r="AQ92" s="14">
        <f>IF(SUM($C$35:AQ35)-SUM($C$54:AQ54)&gt;0,SUM($C$35:AQ35)-SUM($C$54:AQ54),0)</f>
        <v>0</v>
      </c>
      <c r="AR92" s="14">
        <f>IF(SUM($C$35:AR35)-SUM($C$54:AR54)&gt;0,SUM($C$35:AR35)-SUM($C$54:AR54),0)</f>
        <v>0</v>
      </c>
      <c r="AS92" s="14">
        <f>IF(SUM($C$35:AS35)-SUM($C$54:AS54)&gt;0,SUM($C$35:AS35)-SUM($C$54:AS54),0)</f>
        <v>0</v>
      </c>
      <c r="AT92" s="14">
        <f>IF(SUM($C$35:AT35)-SUM($C$54:AT54)&gt;0,SUM($C$35:AT35)-SUM($C$54:AT54),0)</f>
        <v>0</v>
      </c>
      <c r="AU92" s="14">
        <f>IF(SUM($C$35:AU35)-SUM($C$54:AU54)&gt;0,SUM($C$35:AU35)-SUM($C$54:AU54),0)</f>
        <v>0</v>
      </c>
      <c r="AV92" s="14">
        <f>IF(SUM($C$35:AV35)-SUM($C$54:AV54)&gt;0,SUM($C$35:AV35)-SUM($C$54:AV54),0)</f>
        <v>0</v>
      </c>
      <c r="AW92" s="14">
        <f>IF(SUM($C$35:AW35)-SUM($C$54:AW54)&gt;0,SUM($C$35:AW35)-SUM($C$54:AW54),0)</f>
        <v>0</v>
      </c>
      <c r="AX92" s="14">
        <f>IF(SUM($C$35:AX35)-SUM($C$54:AX54)&gt;0,SUM($C$35:AX35)-SUM($C$54:AX54),0)</f>
        <v>0</v>
      </c>
      <c r="AY92" s="14">
        <f>IF(SUM($C$35:AY35)-SUM($C$54:AY54)&gt;0,SUM($C$35:AY35)-SUM($C$54:AY54),0)</f>
        <v>0</v>
      </c>
      <c r="AZ92" s="14">
        <f>IF(SUM($C$35:AZ35)-SUM($C$54:AZ54)&gt;0,SUM($C$35:AZ35)-SUM($C$54:AZ54),0)</f>
        <v>0</v>
      </c>
      <c r="BA92" s="14">
        <f>IF(SUM($C$35:BA35)-SUM($C$54:BA54)&gt;0,SUM($C$35:BA35)-SUM($C$54:BA54),0)</f>
        <v>0</v>
      </c>
      <c r="BB92" s="14">
        <f>IF(SUM($C$35:BB35)-SUM($C$54:BB54)&gt;0,SUM($C$35:BB35)-SUM($C$54:BB54),0)</f>
        <v>0</v>
      </c>
      <c r="BC92" s="14">
        <f>IF(SUM($C$35:BC35)-SUM($C$54:BC54)&gt;0,SUM($C$35:BC35)-SUM($C$54:BC54),0)</f>
        <v>0</v>
      </c>
      <c r="BD92" s="14">
        <f>IF(SUM($C$35:BD35)-SUM($C$54:BD54)&gt;0,SUM($C$35:BD35)-SUM($C$54:BD54),0)</f>
        <v>0</v>
      </c>
      <c r="BE92" s="14">
        <f>IF(SUM($C$35:BE35)-SUM($C$54:BE54)&gt;0,SUM($C$35:BE35)-SUM($C$54:BE54),0)</f>
        <v>0</v>
      </c>
      <c r="BF92" s="14">
        <f>IF(SUM($C$35:BF35)-SUM($C$54:BF54)&gt;0,SUM($C$35:BF35)-SUM($C$54:BF54),0)</f>
        <v>0</v>
      </c>
      <c r="BG92" s="14">
        <f>IF(SUM($C$35:BG35)-SUM($C$54:BG54)&gt;0,SUM($C$35:BG35)-SUM($C$54:BG54),0)</f>
        <v>0</v>
      </c>
      <c r="BH92" s="14">
        <f>IF(SUM($C$35:BH35)-SUM($C$54:BH54)&gt;0,SUM($C$35:BH35)-SUM($C$54:BH54),0)</f>
        <v>0</v>
      </c>
      <c r="BI92" s="14">
        <f>IF(SUM($C$35:BI35)-SUM($C$54:BI54)&gt;0,SUM($C$35:BI35)-SUM($C$54:BI54),0)</f>
        <v>0</v>
      </c>
      <c r="BJ92" s="14">
        <f>IF(SUM($C$35:BJ35)-SUM($C$54:BJ54)&gt;0,SUM($C$35:BJ35)-SUM($C$54:BJ54),0)</f>
        <v>0</v>
      </c>
      <c r="BK92" s="14">
        <f>IF(SUM($C$35:BK35)-SUM($C$54:BK54)&gt;0,SUM($C$35:BK35)-SUM($C$54:BK54),0)</f>
        <v>0</v>
      </c>
      <c r="BL92" s="93">
        <f>IF(SUM($C$35:BL35)-SUM($C$54:BL54)&gt;0,SUM($C$35:BL35)-SUM($C$54:BL54),0)</f>
        <v>0</v>
      </c>
      <c r="BM92" s="93" t="e">
        <f>IF(SUM($C$35:BM35)-SUM($C$54:BM54)&gt;0,SUM($C$35:BM35)-SUM($C$54:BM54),0)</f>
        <v>#DIV/0!</v>
      </c>
      <c r="BN92" s="93" t="e">
        <f>IF(SUM($C$35:BN35)-SUM($C$54:BN54)&gt;0,SUM($C$35:BN35)-SUM($C$54:BN54),0)</f>
        <v>#DIV/0!</v>
      </c>
      <c r="BO92" s="93" t="e">
        <f>IF(SUM($C$35:BO35)-SUM($C$54:BO54)&gt;0,SUM($C$35:BO35)-SUM($C$54:BO54),0)</f>
        <v>#DIV/0!</v>
      </c>
      <c r="BP92" s="93" t="e">
        <f>IF(SUM($C$35:BP35)-SUM($C$54:BP54)&gt;0,SUM($C$35:BP35)-SUM($C$54:BP54),0)</f>
        <v>#DIV/0!</v>
      </c>
      <c r="BQ92" s="93" t="e">
        <f>IF(SUM($C$35:BQ35)-SUM($C$54:BQ54)&gt;0,SUM($C$35:BQ35)-SUM($C$54:BQ54),0)</f>
        <v>#DIV/0!</v>
      </c>
      <c r="BR92" s="93" t="e">
        <f>IF(SUM($C$35:BR35)-SUM($C$54:BR54)&gt;0,SUM($C$35:BR35)-SUM($C$54:BR54),0)</f>
        <v>#DIV/0!</v>
      </c>
      <c r="BS92" s="93" t="e">
        <f>IF(SUM($C$35:BS35)-SUM($C$54:BS54)&gt;0,SUM($C$35:BS35)-SUM($C$54:BS54),0)</f>
        <v>#DIV/0!</v>
      </c>
      <c r="BT92" s="93" t="e">
        <f>IF(SUM($C$35:BT35)-SUM($C$54:BT54)&gt;0,SUM($C$35:BT35)-SUM($C$54:BT54),0)</f>
        <v>#DIV/0!</v>
      </c>
      <c r="BU92" s="93" t="e">
        <f>IF(SUM($C$35:BU35)-SUM($C$54:BU54)&gt;0,SUM($C$35:BU35)-SUM($C$54:BU54),0)</f>
        <v>#DIV/0!</v>
      </c>
      <c r="BV92" s="93" t="e">
        <f>IF(SUM($C$35:BV35)-SUM($C$54:BV54)&gt;0,SUM($C$35:BV35)-SUM($C$54:BV54),0)</f>
        <v>#DIV/0!</v>
      </c>
      <c r="BW92" s="93" t="e">
        <f>IF(SUM($C$35:BW35)-SUM($C$54:BW54)&gt;0,SUM($C$35:BW35)-SUM($C$54:BW54),0)</f>
        <v>#DIV/0!</v>
      </c>
    </row>
    <row r="93" spans="1:75" hidden="1" x14ac:dyDescent="0.3">
      <c r="A93" s="104" t="str">
        <f t="shared" si="30"/>
        <v xml:space="preserve">Saldos del crédito </v>
      </c>
      <c r="B93" s="105"/>
      <c r="C93" s="14">
        <f>IF(SUM($C$36:C36)-SUM($C$55:C55)&gt;0,SUM($C$36:C36)-SUM($C$55:C55),0)</f>
        <v>0</v>
      </c>
      <c r="D93" s="14">
        <f>IF(SUM($C$36:D36)-SUM($C$55:D55)&gt;0,SUM($C$36:D36)-SUM($C$55:D55),0)</f>
        <v>0</v>
      </c>
      <c r="E93" s="14">
        <f>IF(SUM($C$36:E36)-SUM($C$55:E55)&gt;0,SUM($C$36:E36)-SUM($C$55:E55),0)</f>
        <v>0</v>
      </c>
      <c r="F93" s="14">
        <f>IF(SUM($C$36:F36)-SUM($C$55:F55)&gt;0,SUM($C$36:F36)-SUM($C$55:F55),0)</f>
        <v>0</v>
      </c>
      <c r="G93" s="14">
        <f>IF(SUM($C$36:G36)-SUM($C$55:G55)&gt;0,SUM($C$36:G36)-SUM($C$55:G55),0)</f>
        <v>0</v>
      </c>
      <c r="H93" s="14">
        <f>IF(SUM($C$36:H36)-SUM($C$55:H55)&gt;0,SUM($C$36:H36)-SUM($C$55:H55),0)</f>
        <v>0</v>
      </c>
      <c r="I93" s="14">
        <f>IF(SUM($C$36:I36)-SUM($C$55:I55)&gt;0,SUM($C$36:I36)-SUM($C$55:I55),0)</f>
        <v>0</v>
      </c>
      <c r="J93" s="14">
        <f>IF(SUM($C$36:J36)-SUM($C$55:J55)&gt;0,SUM($C$36:J36)-SUM($C$55:J55),0)</f>
        <v>0</v>
      </c>
      <c r="K93" s="14">
        <f>IF(SUM($C$36:K36)-SUM($C$55:K55)&gt;0,SUM($C$36:K36)-SUM($C$55:K55),0)</f>
        <v>0</v>
      </c>
      <c r="L93" s="14">
        <f>IF(SUM($C$36:L36)-SUM($C$55:L55)&gt;0,SUM($C$36:L36)-SUM($C$55:L55),0)</f>
        <v>0</v>
      </c>
      <c r="M93" s="14">
        <f>IF(SUM($C$36:M36)-SUM($C$55:M55)&gt;0,SUM($C$36:M36)-SUM($C$55:M55),0)</f>
        <v>0</v>
      </c>
      <c r="N93" s="14">
        <f>IF(SUM($C$36:N36)-SUM($C$55:N55)&gt;0,SUM($C$36:N36)-SUM($C$55:N55),0)</f>
        <v>0</v>
      </c>
      <c r="O93" s="14">
        <f>IF(SUM($C$36:O36)-SUM($C$55:O55)&gt;0,SUM($C$36:O36)-SUM($C$55:O55),0)</f>
        <v>0</v>
      </c>
      <c r="P93" s="14">
        <f>IF(SUM($C$36:P36)-SUM($C$55:P55)&gt;0,SUM($C$36:P36)-SUM($C$55:P55),0)</f>
        <v>0</v>
      </c>
      <c r="Q93" s="14">
        <f>IF(SUM($C$36:Q36)-SUM($C$55:Q55)&gt;0,SUM($C$36:Q36)-SUM($C$55:Q55),0)</f>
        <v>0</v>
      </c>
      <c r="R93" s="14">
        <f>IF(SUM($C$36:R36)-SUM($C$55:R55)&gt;0,SUM($C$36:R36)-SUM($C$55:R55),0)</f>
        <v>0</v>
      </c>
      <c r="S93" s="14">
        <f>IF(SUM($C$36:S36)-SUM($C$55:S55)&gt;0,SUM($C$36:S36)-SUM($C$55:S55),0)</f>
        <v>0</v>
      </c>
      <c r="T93" s="14">
        <f>IF(SUM($C$36:T36)-SUM($C$55:T55)&gt;0,SUM($C$36:T36)-SUM($C$55:T55),0)</f>
        <v>0</v>
      </c>
      <c r="U93" s="14">
        <f>IF(SUM($C$36:U36)-SUM($C$55:U55)&gt;0,SUM($C$36:U36)-SUM($C$55:U55),0)</f>
        <v>0</v>
      </c>
      <c r="V93" s="14">
        <f>IF(SUM($C$36:V36)-SUM($C$55:V55)&gt;0,SUM($C$36:V36)-SUM($C$55:V55),0)</f>
        <v>0</v>
      </c>
      <c r="W93" s="14">
        <f>IF(SUM($C$36:W36)-SUM($C$55:W55)&gt;0,SUM($C$36:W36)-SUM($C$55:W55),0)</f>
        <v>0</v>
      </c>
      <c r="X93" s="14">
        <f>IF(SUM($C$36:X36)-SUM($C$55:X55)&gt;0,SUM($C$36:X36)-SUM($C$55:X55),0)</f>
        <v>0</v>
      </c>
      <c r="Y93" s="14">
        <f>IF(SUM($C$36:Y36)-SUM($C$55:Y55)&gt;0,SUM($C$36:Y36)-SUM($C$55:Y55),0)</f>
        <v>0</v>
      </c>
      <c r="Z93" s="14">
        <f>IF(SUM($C$36:Z36)-SUM($C$55:Z55)&gt;0,SUM($C$36:Z36)-SUM($C$55:Z55),0)</f>
        <v>0</v>
      </c>
      <c r="AA93" s="14">
        <f>IF(SUM($C$36:AA36)-SUM($C$55:AA55)&gt;0,SUM($C$36:AA36)-SUM($C$55:AA55),0)</f>
        <v>0</v>
      </c>
      <c r="AB93" s="14">
        <f>IF(SUM($C$36:AB36)-SUM($C$55:AB55)&gt;0,SUM($C$36:AB36)-SUM($C$55:AB55),0)</f>
        <v>0</v>
      </c>
      <c r="AC93" s="14">
        <f>IF(SUM($C$36:AC36)-SUM($C$55:AC55)&gt;0,SUM($C$36:AC36)-SUM($C$55:AC55),0)</f>
        <v>0</v>
      </c>
      <c r="AD93" s="14">
        <f>IF(SUM($C$36:AD36)-SUM($C$55:AD55)&gt;0,SUM($C$36:AD36)-SUM($C$55:AD55),0)</f>
        <v>0</v>
      </c>
      <c r="AE93" s="14">
        <f>IF(SUM($C$36:AE36)-SUM($C$55:AE55)&gt;0,SUM($C$36:AE36)-SUM($C$55:AE55),0)</f>
        <v>0</v>
      </c>
      <c r="AF93" s="14">
        <f>IF(SUM($C$36:AF36)-SUM($C$55:AF55)&gt;0,SUM($C$36:AF36)-SUM($C$55:AF55),0)</f>
        <v>0</v>
      </c>
      <c r="AG93" s="14">
        <f>IF(SUM($C$36:AG36)-SUM($C$55:AG55)&gt;0,SUM($C$36:AG36)-SUM($C$55:AG55),0)</f>
        <v>0</v>
      </c>
      <c r="AH93" s="14">
        <f>IF(SUM($C$36:AH36)-SUM($C$55:AH55)&gt;0,SUM($C$36:AH36)-SUM($C$55:AH55),0)</f>
        <v>0</v>
      </c>
      <c r="AI93" s="14">
        <f>IF(SUM($C$36:AI36)-SUM($C$55:AI55)&gt;0,SUM($C$36:AI36)-SUM($C$55:AI55),0)</f>
        <v>0</v>
      </c>
      <c r="AJ93" s="14">
        <f>IF(SUM($C$36:AJ36)-SUM($C$55:AJ55)&gt;0,SUM($C$36:AJ36)-SUM($C$55:AJ55),0)</f>
        <v>0</v>
      </c>
      <c r="AK93" s="14">
        <f>IF(SUM($C$36:AK36)-SUM($C$55:AK55)&gt;0,SUM($C$36:AK36)-SUM($C$55:AK55),0)</f>
        <v>0</v>
      </c>
      <c r="AL93" s="14">
        <f>IF(SUM($C$36:AL36)-SUM($C$55:AL55)&gt;0,SUM($C$36:AL36)-SUM($C$55:AL55),0)</f>
        <v>0</v>
      </c>
      <c r="AM93" s="14">
        <f>IF(SUM($C$36:AM36)-SUM($C$55:AM55)&gt;0,SUM($C$36:AM36)-SUM($C$55:AM55),0)</f>
        <v>0</v>
      </c>
      <c r="AN93" s="14">
        <f>IF(SUM($C$36:AN36)-SUM($C$55:AN55)&gt;0,SUM($C$36:AN36)-SUM($C$55:AN55),0)</f>
        <v>0</v>
      </c>
      <c r="AO93" s="14">
        <f>IF(SUM($C$36:AO36)-SUM($C$55:AO55)&gt;0,SUM($C$36:AO36)-SUM($C$55:AO55),0)</f>
        <v>0</v>
      </c>
      <c r="AP93" s="14">
        <f>IF(SUM($C$36:AP36)-SUM($C$55:AP55)&gt;0,SUM($C$36:AP36)-SUM($C$55:AP55),0)</f>
        <v>0</v>
      </c>
      <c r="AQ93" s="14">
        <f>IF(SUM($C$36:AQ36)-SUM($C$55:AQ55)&gt;0,SUM($C$36:AQ36)-SUM($C$55:AQ55),0)</f>
        <v>0</v>
      </c>
      <c r="AR93" s="14">
        <f>IF(SUM($C$36:AR36)-SUM($C$55:AR55)&gt;0,SUM($C$36:AR36)-SUM($C$55:AR55),0)</f>
        <v>0</v>
      </c>
      <c r="AS93" s="14">
        <f>IF(SUM($C$36:AS36)-SUM($C$55:AS55)&gt;0,SUM($C$36:AS36)-SUM($C$55:AS55),0)</f>
        <v>0</v>
      </c>
      <c r="AT93" s="14">
        <f>IF(SUM($C$36:AT36)-SUM($C$55:AT55)&gt;0,SUM($C$36:AT36)-SUM($C$55:AT55),0)</f>
        <v>0</v>
      </c>
      <c r="AU93" s="14">
        <f>IF(SUM($C$36:AU36)-SUM($C$55:AU55)&gt;0,SUM($C$36:AU36)-SUM($C$55:AU55),0)</f>
        <v>0</v>
      </c>
      <c r="AV93" s="14">
        <f>IF(SUM($C$36:AV36)-SUM($C$55:AV55)&gt;0,SUM($C$36:AV36)-SUM($C$55:AV55),0)</f>
        <v>0</v>
      </c>
      <c r="AW93" s="14">
        <f>IF(SUM($C$36:AW36)-SUM($C$55:AW55)&gt;0,SUM($C$36:AW36)-SUM($C$55:AW55),0)</f>
        <v>0</v>
      </c>
      <c r="AX93" s="14">
        <f>IF(SUM($C$36:AX36)-SUM($C$55:AX55)&gt;0,SUM($C$36:AX36)-SUM($C$55:AX55),0)</f>
        <v>0</v>
      </c>
      <c r="AY93" s="14">
        <f>IF(SUM($C$36:AY36)-SUM($C$55:AY55)&gt;0,SUM($C$36:AY36)-SUM($C$55:AY55),0)</f>
        <v>0</v>
      </c>
      <c r="AZ93" s="14">
        <f>IF(SUM($C$36:AZ36)-SUM($C$55:AZ55)&gt;0,SUM($C$36:AZ36)-SUM($C$55:AZ55),0)</f>
        <v>0</v>
      </c>
      <c r="BA93" s="14">
        <f>IF(SUM($C$36:BA36)-SUM($C$55:BA55)&gt;0,SUM($C$36:BA36)-SUM($C$55:BA55),0)</f>
        <v>0</v>
      </c>
      <c r="BB93" s="14">
        <f>IF(SUM($C$36:BB36)-SUM($C$55:BB55)&gt;0,SUM($C$36:BB36)-SUM($C$55:BB55),0)</f>
        <v>0</v>
      </c>
      <c r="BC93" s="14">
        <f>IF(SUM($C$36:BC36)-SUM($C$55:BC55)&gt;0,SUM($C$36:BC36)-SUM($C$55:BC55),0)</f>
        <v>0</v>
      </c>
      <c r="BD93" s="14">
        <f>IF(SUM($C$36:BD36)-SUM($C$55:BD55)&gt;0,SUM($C$36:BD36)-SUM($C$55:BD55),0)</f>
        <v>0</v>
      </c>
      <c r="BE93" s="14">
        <f>IF(SUM($C$36:BE36)-SUM($C$55:BE55)&gt;0,SUM($C$36:BE36)-SUM($C$55:BE55),0)</f>
        <v>0</v>
      </c>
      <c r="BF93" s="14">
        <f>IF(SUM($C$36:BF36)-SUM($C$55:BF55)&gt;0,SUM($C$36:BF36)-SUM($C$55:BF55),0)</f>
        <v>0</v>
      </c>
      <c r="BG93" s="14">
        <f>IF(SUM($C$36:BG36)-SUM($C$55:BG55)&gt;0,SUM($C$36:BG36)-SUM($C$55:BG55),0)</f>
        <v>0</v>
      </c>
      <c r="BH93" s="14">
        <f>IF(SUM($C$36:BH36)-SUM($C$55:BH55)&gt;0,SUM($C$36:BH36)-SUM($C$55:BH55),0)</f>
        <v>0</v>
      </c>
      <c r="BI93" s="14">
        <f>IF(SUM($C$36:BI36)-SUM($C$55:BI55)&gt;0,SUM($C$36:BI36)-SUM($C$55:BI55),0)</f>
        <v>0</v>
      </c>
      <c r="BJ93" s="14">
        <f>IF(SUM($C$36:BJ36)-SUM($C$55:BJ55)&gt;0,SUM($C$36:BJ36)-SUM($C$55:BJ55),0)</f>
        <v>0</v>
      </c>
      <c r="BK93" s="14">
        <f>IF(SUM($C$36:BK36)-SUM($C$55:BK55)&gt;0,SUM($C$36:BK36)-SUM($C$55:BK55),0)</f>
        <v>0</v>
      </c>
      <c r="BL93" s="93">
        <f>IF(SUM($C$36:BL36)-SUM($C$55:BL55)&gt;0,SUM($C$36:BL36)-SUM($C$55:BL55),0)</f>
        <v>0</v>
      </c>
      <c r="BM93" s="93" t="e">
        <f>IF(SUM($C$36:BM36)-SUM($C$55:BM55)&gt;0,SUM($C$36:BM36)-SUM($C$55:BM55),0)</f>
        <v>#DIV/0!</v>
      </c>
      <c r="BN93" s="93" t="e">
        <f>IF(SUM($C$36:BN36)-SUM($C$55:BN55)&gt;0,SUM($C$36:BN36)-SUM($C$55:BN55),0)</f>
        <v>#DIV/0!</v>
      </c>
      <c r="BO93" s="93" t="e">
        <f>IF(SUM($C$36:BO36)-SUM($C$55:BO55)&gt;0,SUM($C$36:BO36)-SUM($C$55:BO55),0)</f>
        <v>#DIV/0!</v>
      </c>
      <c r="BP93" s="93" t="e">
        <f>IF(SUM($C$36:BP36)-SUM($C$55:BP55)&gt;0,SUM($C$36:BP36)-SUM($C$55:BP55),0)</f>
        <v>#DIV/0!</v>
      </c>
      <c r="BQ93" s="93" t="e">
        <f>IF(SUM($C$36:BQ36)-SUM($C$55:BQ55)&gt;0,SUM($C$36:BQ36)-SUM($C$55:BQ55),0)</f>
        <v>#DIV/0!</v>
      </c>
      <c r="BR93" s="93" t="e">
        <f>IF(SUM($C$36:BR36)-SUM($C$55:BR55)&gt;0,SUM($C$36:BR36)-SUM($C$55:BR55),0)</f>
        <v>#DIV/0!</v>
      </c>
      <c r="BS93" s="93" t="e">
        <f>IF(SUM($C$36:BS36)-SUM($C$55:BS55)&gt;0,SUM($C$36:BS36)-SUM($C$55:BS55),0)</f>
        <v>#DIV/0!</v>
      </c>
      <c r="BT93" s="93" t="e">
        <f>IF(SUM($C$36:BT36)-SUM($C$55:BT55)&gt;0,SUM($C$36:BT36)-SUM($C$55:BT55),0)</f>
        <v>#DIV/0!</v>
      </c>
      <c r="BU93" s="93" t="e">
        <f>IF(SUM($C$36:BU36)-SUM($C$55:BU55)&gt;0,SUM($C$36:BU36)-SUM($C$55:BU55),0)</f>
        <v>#DIV/0!</v>
      </c>
      <c r="BV93" s="93" t="e">
        <f>IF(SUM($C$36:BV36)-SUM($C$55:BV55)&gt;0,SUM($C$36:BV36)-SUM($C$55:BV55),0)</f>
        <v>#DIV/0!</v>
      </c>
      <c r="BW93" s="93" t="e">
        <f>IF(SUM($C$36:BW36)-SUM($C$55:BW55)&gt;0,SUM($C$36:BW36)-SUM($C$55:BW55),0)</f>
        <v>#DIV/0!</v>
      </c>
    </row>
    <row r="94" spans="1:75" hidden="1" x14ac:dyDescent="0.3">
      <c r="A94" s="104" t="str">
        <f t="shared" si="30"/>
        <v xml:space="preserve">Saldos del crédito </v>
      </c>
      <c r="B94" s="105"/>
      <c r="C94" s="14">
        <f>IF(SUM($C$37:C37)-SUM($C$56:C56)&gt;0,SUM($C$37:C37)-SUM($C$56:C56),0)</f>
        <v>0</v>
      </c>
      <c r="D94" s="14">
        <f>IF(SUM($C$37:D37)-SUM($C$56:D56)&gt;0,SUM($C$37:D37)-SUM($C$56:D56),0)</f>
        <v>0</v>
      </c>
      <c r="E94" s="14">
        <f>IF(SUM($C$37:E37)-SUM($C$56:E56)&gt;0,SUM($C$37:E37)-SUM($C$56:E56),0)</f>
        <v>0</v>
      </c>
      <c r="F94" s="14">
        <f>IF(SUM($C$37:F37)-SUM($C$56:F56)&gt;0,SUM($C$37:F37)-SUM($C$56:F56),0)</f>
        <v>0</v>
      </c>
      <c r="G94" s="14">
        <f>IF(SUM($C$37:G37)-SUM($C$56:G56)&gt;0,SUM($C$37:G37)-SUM($C$56:G56),0)</f>
        <v>0</v>
      </c>
      <c r="H94" s="14">
        <f>IF(SUM($C$37:H37)-SUM($C$56:H56)&gt;0,SUM($C$37:H37)-SUM($C$56:H56),0)</f>
        <v>0</v>
      </c>
      <c r="I94" s="14">
        <f>IF(SUM($C$37:I37)-SUM($C$56:I56)&gt;0,SUM($C$37:I37)-SUM($C$56:I56),0)</f>
        <v>0</v>
      </c>
      <c r="J94" s="14">
        <f>IF(SUM($C$37:J37)-SUM($C$56:J56)&gt;0,SUM($C$37:J37)-SUM($C$56:J56),0)</f>
        <v>0</v>
      </c>
      <c r="K94" s="14">
        <f>IF(SUM($C$37:K37)-SUM($C$56:K56)&gt;0,SUM($C$37:K37)-SUM($C$56:K56),0)</f>
        <v>0</v>
      </c>
      <c r="L94" s="14">
        <f>IF(SUM($C$37:L37)-SUM($C$56:L56)&gt;0,SUM($C$37:L37)-SUM($C$56:L56),0)</f>
        <v>0</v>
      </c>
      <c r="M94" s="14">
        <f>IF(SUM($C$37:M37)-SUM($C$56:M56)&gt;0,SUM($C$37:M37)-SUM($C$56:M56),0)</f>
        <v>0</v>
      </c>
      <c r="N94" s="14">
        <f>IF(SUM($C$37:N37)-SUM($C$56:N56)&gt;0,SUM($C$37:N37)-SUM($C$56:N56),0)</f>
        <v>0</v>
      </c>
      <c r="O94" s="14">
        <f>IF(SUM($C$37:O37)-SUM($C$56:O56)&gt;0,SUM($C$37:O37)-SUM($C$56:O56),0)</f>
        <v>0</v>
      </c>
      <c r="P94" s="14">
        <f>IF(SUM($C$37:P37)-SUM($C$56:P56)&gt;0,SUM($C$37:P37)-SUM($C$56:P56),0)</f>
        <v>0</v>
      </c>
      <c r="Q94" s="14">
        <f>IF(SUM($C$37:Q37)-SUM($C$56:Q56)&gt;0,SUM($C$37:Q37)-SUM($C$56:Q56),0)</f>
        <v>0</v>
      </c>
      <c r="R94" s="14">
        <f>IF(SUM($C$37:R37)-SUM($C$56:R56)&gt;0,SUM($C$37:R37)-SUM($C$56:R56),0)</f>
        <v>0</v>
      </c>
      <c r="S94" s="14">
        <f>IF(SUM($C$37:S37)-SUM($C$56:S56)&gt;0,SUM($C$37:S37)-SUM($C$56:S56),0)</f>
        <v>0</v>
      </c>
      <c r="T94" s="14">
        <f>IF(SUM($C$37:T37)-SUM($C$56:T56)&gt;0,SUM($C$37:T37)-SUM($C$56:T56),0)</f>
        <v>0</v>
      </c>
      <c r="U94" s="14">
        <f>IF(SUM($C$37:U37)-SUM($C$56:U56)&gt;0,SUM($C$37:U37)-SUM($C$56:U56),0)</f>
        <v>0</v>
      </c>
      <c r="V94" s="14">
        <f>IF(SUM($C$37:V37)-SUM($C$56:V56)&gt;0,SUM($C$37:V37)-SUM($C$56:V56),0)</f>
        <v>0</v>
      </c>
      <c r="W94" s="14">
        <f>IF(SUM($C$37:W37)-SUM($C$56:W56)&gt;0,SUM($C$37:W37)-SUM($C$56:W56),0)</f>
        <v>0</v>
      </c>
      <c r="X94" s="14">
        <f>IF(SUM($C$37:X37)-SUM($C$56:X56)&gt;0,SUM($C$37:X37)-SUM($C$56:X56),0)</f>
        <v>0</v>
      </c>
      <c r="Y94" s="14">
        <f>IF(SUM($C$37:Y37)-SUM($C$56:Y56)&gt;0,SUM($C$37:Y37)-SUM($C$56:Y56),0)</f>
        <v>0</v>
      </c>
      <c r="Z94" s="14">
        <f>IF(SUM($C$37:Z37)-SUM($C$56:Z56)&gt;0,SUM($C$37:Z37)-SUM($C$56:Z56),0)</f>
        <v>0</v>
      </c>
      <c r="AA94" s="14">
        <f>IF(SUM($C$37:AA37)-SUM($C$56:AA56)&gt;0,SUM($C$37:AA37)-SUM($C$56:AA56),0)</f>
        <v>0</v>
      </c>
      <c r="AB94" s="14">
        <f>IF(SUM($C$37:AB37)-SUM($C$56:AB56)&gt;0,SUM($C$37:AB37)-SUM($C$56:AB56),0)</f>
        <v>0</v>
      </c>
      <c r="AC94" s="14">
        <f>IF(SUM($C$37:AC37)-SUM($C$56:AC56)&gt;0,SUM($C$37:AC37)-SUM($C$56:AC56),0)</f>
        <v>0</v>
      </c>
      <c r="AD94" s="14">
        <f>IF(SUM($C$37:AD37)-SUM($C$56:AD56)&gt;0,SUM($C$37:AD37)-SUM($C$56:AD56),0)</f>
        <v>0</v>
      </c>
      <c r="AE94" s="14">
        <f>IF(SUM($C$37:AE37)-SUM($C$56:AE56)&gt;0,SUM($C$37:AE37)-SUM($C$56:AE56),0)</f>
        <v>0</v>
      </c>
      <c r="AF94" s="14">
        <f>IF(SUM($C$37:AF37)-SUM($C$56:AF56)&gt;0,SUM($C$37:AF37)-SUM($C$56:AF56),0)</f>
        <v>0</v>
      </c>
      <c r="AG94" s="14">
        <f>IF(SUM($C$37:AG37)-SUM($C$56:AG56)&gt;0,SUM($C$37:AG37)-SUM($C$56:AG56),0)</f>
        <v>0</v>
      </c>
      <c r="AH94" s="14">
        <f>IF(SUM($C$37:AH37)-SUM($C$56:AH56)&gt;0,SUM($C$37:AH37)-SUM($C$56:AH56),0)</f>
        <v>0</v>
      </c>
      <c r="AI94" s="14">
        <f>IF(SUM($C$37:AI37)-SUM($C$56:AI56)&gt;0,SUM($C$37:AI37)-SUM($C$56:AI56),0)</f>
        <v>0</v>
      </c>
      <c r="AJ94" s="14">
        <f>IF(SUM($C$37:AJ37)-SUM($C$56:AJ56)&gt;0,SUM($C$37:AJ37)-SUM($C$56:AJ56),0)</f>
        <v>0</v>
      </c>
      <c r="AK94" s="14">
        <f>IF(SUM($C$37:AK37)-SUM($C$56:AK56)&gt;0,SUM($C$37:AK37)-SUM($C$56:AK56),0)</f>
        <v>0</v>
      </c>
      <c r="AL94" s="14">
        <f>IF(SUM($C$37:AL37)-SUM($C$56:AL56)&gt;0,SUM($C$37:AL37)-SUM($C$56:AL56),0)</f>
        <v>0</v>
      </c>
      <c r="AM94" s="14">
        <f>IF(SUM($C$37:AM37)-SUM($C$56:AM56)&gt;0,SUM($C$37:AM37)-SUM($C$56:AM56),0)</f>
        <v>0</v>
      </c>
      <c r="AN94" s="14">
        <f>IF(SUM($C$37:AN37)-SUM($C$56:AN56)&gt;0,SUM($C$37:AN37)-SUM($C$56:AN56),0)</f>
        <v>0</v>
      </c>
      <c r="AO94" s="14">
        <f>IF(SUM($C$37:AO37)-SUM($C$56:AO56)&gt;0,SUM($C$37:AO37)-SUM($C$56:AO56),0)</f>
        <v>0</v>
      </c>
      <c r="AP94" s="14">
        <f>IF(SUM($C$37:AP37)-SUM($C$56:AP56)&gt;0,SUM($C$37:AP37)-SUM($C$56:AP56),0)</f>
        <v>0</v>
      </c>
      <c r="AQ94" s="14">
        <f>IF(SUM($C$37:AQ37)-SUM($C$56:AQ56)&gt;0,SUM($C$37:AQ37)-SUM($C$56:AQ56),0)</f>
        <v>0</v>
      </c>
      <c r="AR94" s="14">
        <f>IF(SUM($C$37:AR37)-SUM($C$56:AR56)&gt;0,SUM($C$37:AR37)-SUM($C$56:AR56),0)</f>
        <v>0</v>
      </c>
      <c r="AS94" s="14">
        <f>IF(SUM($C$37:AS37)-SUM($C$56:AS56)&gt;0,SUM($C$37:AS37)-SUM($C$56:AS56),0)</f>
        <v>0</v>
      </c>
      <c r="AT94" s="14">
        <f>IF(SUM($C$37:AT37)-SUM($C$56:AT56)&gt;0,SUM($C$37:AT37)-SUM($C$56:AT56),0)</f>
        <v>0</v>
      </c>
      <c r="AU94" s="14">
        <f>IF(SUM($C$37:AU37)-SUM($C$56:AU56)&gt;0,SUM($C$37:AU37)-SUM($C$56:AU56),0)</f>
        <v>0</v>
      </c>
      <c r="AV94" s="14">
        <f>IF(SUM($C$37:AV37)-SUM($C$56:AV56)&gt;0,SUM($C$37:AV37)-SUM($C$56:AV56),0)</f>
        <v>0</v>
      </c>
      <c r="AW94" s="14">
        <f>IF(SUM($C$37:AW37)-SUM($C$56:AW56)&gt;0,SUM($C$37:AW37)-SUM($C$56:AW56),0)</f>
        <v>0</v>
      </c>
      <c r="AX94" s="14">
        <f>IF(SUM($C$37:AX37)-SUM($C$56:AX56)&gt;0,SUM($C$37:AX37)-SUM($C$56:AX56),0)</f>
        <v>0</v>
      </c>
      <c r="AY94" s="14">
        <f>IF(SUM($C$37:AY37)-SUM($C$56:AY56)&gt;0,SUM($C$37:AY37)-SUM($C$56:AY56),0)</f>
        <v>0</v>
      </c>
      <c r="AZ94" s="14">
        <f>IF(SUM($C$37:AZ37)-SUM($C$56:AZ56)&gt;0,SUM($C$37:AZ37)-SUM($C$56:AZ56),0)</f>
        <v>0</v>
      </c>
      <c r="BA94" s="14">
        <f>IF(SUM($C$37:BA37)-SUM($C$56:BA56)&gt;0,SUM($C$37:BA37)-SUM($C$56:BA56),0)</f>
        <v>0</v>
      </c>
      <c r="BB94" s="14">
        <f>IF(SUM($C$37:BB37)-SUM($C$56:BB56)&gt;0,SUM($C$37:BB37)-SUM($C$56:BB56),0)</f>
        <v>0</v>
      </c>
      <c r="BC94" s="14">
        <f>IF(SUM($C$37:BC37)-SUM($C$56:BC56)&gt;0,SUM($C$37:BC37)-SUM($C$56:BC56),0)</f>
        <v>0</v>
      </c>
      <c r="BD94" s="14">
        <f>IF(SUM($C$37:BD37)-SUM($C$56:BD56)&gt;0,SUM($C$37:BD37)-SUM($C$56:BD56),0)</f>
        <v>0</v>
      </c>
      <c r="BE94" s="14">
        <f>IF(SUM($C$37:BE37)-SUM($C$56:BE56)&gt;0,SUM($C$37:BE37)-SUM($C$56:BE56),0)</f>
        <v>0</v>
      </c>
      <c r="BF94" s="14">
        <f>IF(SUM($C$37:BF37)-SUM($C$56:BF56)&gt;0,SUM($C$37:BF37)-SUM($C$56:BF56),0)</f>
        <v>0</v>
      </c>
      <c r="BG94" s="14">
        <f>IF(SUM($C$37:BG37)-SUM($C$56:BG56)&gt;0,SUM($C$37:BG37)-SUM($C$56:BG56),0)</f>
        <v>0</v>
      </c>
      <c r="BH94" s="14">
        <f>IF(SUM($C$37:BH37)-SUM($C$56:BH56)&gt;0,SUM($C$37:BH37)-SUM($C$56:BH56),0)</f>
        <v>0</v>
      </c>
      <c r="BI94" s="14">
        <f>IF(SUM($C$37:BI37)-SUM($C$56:BI56)&gt;0,SUM($C$37:BI37)-SUM($C$56:BI56),0)</f>
        <v>0</v>
      </c>
      <c r="BJ94" s="14">
        <f>IF(SUM($C$37:BJ37)-SUM($C$56:BJ56)&gt;0,SUM($C$37:BJ37)-SUM($C$56:BJ56),0)</f>
        <v>0</v>
      </c>
      <c r="BK94" s="14">
        <f>IF(SUM($C$37:BK37)-SUM($C$56:BK56)&gt;0,SUM($C$37:BK37)-SUM($C$56:BK56),0)</f>
        <v>0</v>
      </c>
      <c r="BL94" s="93">
        <f>IF(SUM($C$37:BL37)-SUM($C$56:BL56)&gt;0,SUM($C$37:BL37)-SUM($C$56:BL56),0)</f>
        <v>0</v>
      </c>
      <c r="BM94" s="93" t="e">
        <f>IF(SUM($C$37:BM37)-SUM($C$56:BM56)&gt;0,SUM($C$37:BM37)-SUM($C$56:BM56),0)</f>
        <v>#DIV/0!</v>
      </c>
      <c r="BN94" s="93" t="e">
        <f>IF(SUM($C$37:BN37)-SUM($C$56:BN56)&gt;0,SUM($C$37:BN37)-SUM($C$56:BN56),0)</f>
        <v>#DIV/0!</v>
      </c>
      <c r="BO94" s="93" t="e">
        <f>IF(SUM($C$37:BO37)-SUM($C$56:BO56)&gt;0,SUM($C$37:BO37)-SUM($C$56:BO56),0)</f>
        <v>#DIV/0!</v>
      </c>
      <c r="BP94" s="93" t="e">
        <f>IF(SUM($C$37:BP37)-SUM($C$56:BP56)&gt;0,SUM($C$37:BP37)-SUM($C$56:BP56),0)</f>
        <v>#DIV/0!</v>
      </c>
      <c r="BQ94" s="93" t="e">
        <f>IF(SUM($C$37:BQ37)-SUM($C$56:BQ56)&gt;0,SUM($C$37:BQ37)-SUM($C$56:BQ56),0)</f>
        <v>#DIV/0!</v>
      </c>
      <c r="BR94" s="93" t="e">
        <f>IF(SUM($C$37:BR37)-SUM($C$56:BR56)&gt;0,SUM($C$37:BR37)-SUM($C$56:BR56),0)</f>
        <v>#DIV/0!</v>
      </c>
      <c r="BS94" s="93" t="e">
        <f>IF(SUM($C$37:BS37)-SUM($C$56:BS56)&gt;0,SUM($C$37:BS37)-SUM($C$56:BS56),0)</f>
        <v>#DIV/0!</v>
      </c>
      <c r="BT94" s="93" t="e">
        <f>IF(SUM($C$37:BT37)-SUM($C$56:BT56)&gt;0,SUM($C$37:BT37)-SUM($C$56:BT56),0)</f>
        <v>#DIV/0!</v>
      </c>
      <c r="BU94" s="93" t="e">
        <f>IF(SUM($C$37:BU37)-SUM($C$56:BU56)&gt;0,SUM($C$37:BU37)-SUM($C$56:BU56),0)</f>
        <v>#DIV/0!</v>
      </c>
      <c r="BV94" s="93" t="e">
        <f>IF(SUM($C$37:BV37)-SUM($C$56:BV56)&gt;0,SUM($C$37:BV37)-SUM($C$56:BV56),0)</f>
        <v>#DIV/0!</v>
      </c>
      <c r="BW94" s="93" t="e">
        <f>IF(SUM($C$37:BW37)-SUM($C$56:BW56)&gt;0,SUM($C$37:BW37)-SUM($C$56:BW56),0)</f>
        <v>#DIV/0!</v>
      </c>
    </row>
    <row r="95" spans="1:75" hidden="1" x14ac:dyDescent="0.3">
      <c r="A95" s="104" t="str">
        <f t="shared" si="30"/>
        <v xml:space="preserve">Saldos del crédito </v>
      </c>
      <c r="B95" s="105"/>
      <c r="C95" s="14">
        <f>IF(SUM($C$38:C38)-SUM($C$57:C57)&gt;0,SUM($C$38:C38)-SUM($C$57:C57),0)</f>
        <v>0</v>
      </c>
      <c r="D95" s="14">
        <f>IF(SUM($C$38:D38)-SUM($C$57:D57)&gt;0,SUM($C$38:D38)-SUM($C$57:D57),0)</f>
        <v>0</v>
      </c>
      <c r="E95" s="14">
        <f>IF(SUM($C$38:E38)-SUM($C$57:E57)&gt;0,SUM($C$38:E38)-SUM($C$57:E57),0)</f>
        <v>0</v>
      </c>
      <c r="F95" s="14">
        <f>IF(SUM($C$38:F38)-SUM($C$57:F57)&gt;0,SUM($C$38:F38)-SUM($C$57:F57),0)</f>
        <v>0</v>
      </c>
      <c r="G95" s="14">
        <f>IF(SUM($C$38:G38)-SUM($C$57:G57)&gt;0,SUM($C$38:G38)-SUM($C$57:G57),0)</f>
        <v>0</v>
      </c>
      <c r="H95" s="14">
        <f>IF(SUM($C$38:H38)-SUM($C$57:H57)&gt;0,SUM($C$38:H38)-SUM($C$57:H57),0)</f>
        <v>0</v>
      </c>
      <c r="I95" s="14">
        <f>IF(SUM($C$38:I38)-SUM($C$57:I57)&gt;0,SUM($C$38:I38)-SUM($C$57:I57),0)</f>
        <v>0</v>
      </c>
      <c r="J95" s="14">
        <f>IF(SUM($C$38:J38)-SUM($C$57:J57)&gt;0,SUM($C$38:J38)-SUM($C$57:J57),0)</f>
        <v>0</v>
      </c>
      <c r="K95" s="14">
        <f>IF(SUM($C$38:K38)-SUM($C$57:K57)&gt;0,SUM($C$38:K38)-SUM($C$57:K57),0)</f>
        <v>0</v>
      </c>
      <c r="L95" s="14">
        <f>IF(SUM($C$38:L38)-SUM($C$57:L57)&gt;0,SUM($C$38:L38)-SUM($C$57:L57),0)</f>
        <v>0</v>
      </c>
      <c r="M95" s="14">
        <f>IF(SUM($C$38:M38)-SUM($C$57:M57)&gt;0,SUM($C$38:M38)-SUM($C$57:M57),0)</f>
        <v>0</v>
      </c>
      <c r="N95" s="14">
        <f>IF(SUM($C$38:N38)-SUM($C$57:N57)&gt;0,SUM($C$38:N38)-SUM($C$57:N57),0)</f>
        <v>0</v>
      </c>
      <c r="O95" s="14">
        <f>IF(SUM($C$38:O38)-SUM($C$57:O57)&gt;0,SUM($C$38:O38)-SUM($C$57:O57),0)</f>
        <v>0</v>
      </c>
      <c r="P95" s="14">
        <f>IF(SUM($C$38:P38)-SUM($C$57:P57)&gt;0,SUM($C$38:P38)-SUM($C$57:P57),0)</f>
        <v>0</v>
      </c>
      <c r="Q95" s="14">
        <f>IF(SUM($C$38:Q38)-SUM($C$57:Q57)&gt;0,SUM($C$38:Q38)-SUM($C$57:Q57),0)</f>
        <v>0</v>
      </c>
      <c r="R95" s="14">
        <f>IF(SUM($C$38:R38)-SUM($C$57:R57)&gt;0,SUM($C$38:R38)-SUM($C$57:R57),0)</f>
        <v>0</v>
      </c>
      <c r="S95" s="14">
        <f>IF(SUM($C$38:S38)-SUM($C$57:S57)&gt;0,SUM($C$38:S38)-SUM($C$57:S57),0)</f>
        <v>0</v>
      </c>
      <c r="T95" s="14">
        <f>IF(SUM($C$38:T38)-SUM($C$57:T57)&gt;0,SUM($C$38:T38)-SUM($C$57:T57),0)</f>
        <v>0</v>
      </c>
      <c r="U95" s="14">
        <f>IF(SUM($C$38:U38)-SUM($C$57:U57)&gt;0,SUM($C$38:U38)-SUM($C$57:U57),0)</f>
        <v>0</v>
      </c>
      <c r="V95" s="14">
        <f>IF(SUM($C$38:V38)-SUM($C$57:V57)&gt;0,SUM($C$38:V38)-SUM($C$57:V57),0)</f>
        <v>0</v>
      </c>
      <c r="W95" s="14">
        <f>IF(SUM($C$38:W38)-SUM($C$57:W57)&gt;0,SUM($C$38:W38)-SUM($C$57:W57),0)</f>
        <v>0</v>
      </c>
      <c r="X95" s="14">
        <f>IF(SUM($C$38:X38)-SUM($C$57:X57)&gt;0,SUM($C$38:X38)-SUM($C$57:X57),0)</f>
        <v>0</v>
      </c>
      <c r="Y95" s="14">
        <f>IF(SUM($C$38:Y38)-SUM($C$57:Y57)&gt;0,SUM($C$38:Y38)-SUM($C$57:Y57),0)</f>
        <v>0</v>
      </c>
      <c r="Z95" s="14">
        <f>IF(SUM($C$38:Z38)-SUM($C$57:Z57)&gt;0,SUM($C$38:Z38)-SUM($C$57:Z57),0)</f>
        <v>0</v>
      </c>
      <c r="AA95" s="14">
        <f>IF(SUM($C$38:AA38)-SUM($C$57:AA57)&gt;0,SUM($C$38:AA38)-SUM($C$57:AA57),0)</f>
        <v>0</v>
      </c>
      <c r="AB95" s="14">
        <f>IF(SUM($C$38:AB38)-SUM($C$57:AB57)&gt;0,SUM($C$38:AB38)-SUM($C$57:AB57),0)</f>
        <v>0</v>
      </c>
      <c r="AC95" s="14">
        <f>IF(SUM($C$38:AC38)-SUM($C$57:AC57)&gt;0,SUM($C$38:AC38)-SUM($C$57:AC57),0)</f>
        <v>0</v>
      </c>
      <c r="AD95" s="14">
        <f>IF(SUM($C$38:AD38)-SUM($C$57:AD57)&gt;0,SUM($C$38:AD38)-SUM($C$57:AD57),0)</f>
        <v>0</v>
      </c>
      <c r="AE95" s="14">
        <f>IF(SUM($C$38:AE38)-SUM($C$57:AE57)&gt;0,SUM($C$38:AE38)-SUM($C$57:AE57),0)</f>
        <v>0</v>
      </c>
      <c r="AF95" s="14">
        <f>IF(SUM($C$38:AF38)-SUM($C$57:AF57)&gt;0,SUM($C$38:AF38)-SUM($C$57:AF57),0)</f>
        <v>0</v>
      </c>
      <c r="AG95" s="14">
        <f>IF(SUM($C$38:AG38)-SUM($C$57:AG57)&gt;0,SUM($C$38:AG38)-SUM($C$57:AG57),0)</f>
        <v>0</v>
      </c>
      <c r="AH95" s="14">
        <f>IF(SUM($C$38:AH38)-SUM($C$57:AH57)&gt;0,SUM($C$38:AH38)-SUM($C$57:AH57),0)</f>
        <v>0</v>
      </c>
      <c r="AI95" s="14">
        <f>IF(SUM($C$38:AI38)-SUM($C$57:AI57)&gt;0,SUM($C$38:AI38)-SUM($C$57:AI57),0)</f>
        <v>0</v>
      </c>
      <c r="AJ95" s="14">
        <f>IF(SUM($C$38:AJ38)-SUM($C$57:AJ57)&gt;0,SUM($C$38:AJ38)-SUM($C$57:AJ57),0)</f>
        <v>0</v>
      </c>
      <c r="AK95" s="14">
        <f>IF(SUM($C$38:AK38)-SUM($C$57:AK57)&gt;0,SUM($C$38:AK38)-SUM($C$57:AK57),0)</f>
        <v>0</v>
      </c>
      <c r="AL95" s="14">
        <f>IF(SUM($C$38:AL38)-SUM($C$57:AL57)&gt;0,SUM($C$38:AL38)-SUM($C$57:AL57),0)</f>
        <v>0</v>
      </c>
      <c r="AM95" s="14">
        <f>IF(SUM($C$38:AM38)-SUM($C$57:AM57)&gt;0,SUM($C$38:AM38)-SUM($C$57:AM57),0)</f>
        <v>0</v>
      </c>
      <c r="AN95" s="14">
        <f>IF(SUM($C$38:AN38)-SUM($C$57:AN57)&gt;0,SUM($C$38:AN38)-SUM($C$57:AN57),0)</f>
        <v>0</v>
      </c>
      <c r="AO95" s="14">
        <f>IF(SUM($C$38:AO38)-SUM($C$57:AO57)&gt;0,SUM($C$38:AO38)-SUM($C$57:AO57),0)</f>
        <v>0</v>
      </c>
      <c r="AP95" s="14">
        <f>IF(SUM($C$38:AP38)-SUM($C$57:AP57)&gt;0,SUM($C$38:AP38)-SUM($C$57:AP57),0)</f>
        <v>0</v>
      </c>
      <c r="AQ95" s="14">
        <f>IF(SUM($C$38:AQ38)-SUM($C$57:AQ57)&gt;0,SUM($C$38:AQ38)-SUM($C$57:AQ57),0)</f>
        <v>0</v>
      </c>
      <c r="AR95" s="14">
        <f>IF(SUM($C$38:AR38)-SUM($C$57:AR57)&gt;0,SUM($C$38:AR38)-SUM($C$57:AR57),0)</f>
        <v>0</v>
      </c>
      <c r="AS95" s="14">
        <f>IF(SUM($C$38:AS38)-SUM($C$57:AS57)&gt;0,SUM($C$38:AS38)-SUM($C$57:AS57),0)</f>
        <v>0</v>
      </c>
      <c r="AT95" s="14">
        <f>IF(SUM($C$38:AT38)-SUM($C$57:AT57)&gt;0,SUM($C$38:AT38)-SUM($C$57:AT57),0)</f>
        <v>0</v>
      </c>
      <c r="AU95" s="14">
        <f>IF(SUM($C$38:AU38)-SUM($C$57:AU57)&gt;0,SUM($C$38:AU38)-SUM($C$57:AU57),0)</f>
        <v>0</v>
      </c>
      <c r="AV95" s="14">
        <f>IF(SUM($C$38:AV38)-SUM($C$57:AV57)&gt;0,SUM($C$38:AV38)-SUM($C$57:AV57),0)</f>
        <v>0</v>
      </c>
      <c r="AW95" s="14">
        <f>IF(SUM($C$38:AW38)-SUM($C$57:AW57)&gt;0,SUM($C$38:AW38)-SUM($C$57:AW57),0)</f>
        <v>0</v>
      </c>
      <c r="AX95" s="14">
        <f>IF(SUM($C$38:AX38)-SUM($C$57:AX57)&gt;0,SUM($C$38:AX38)-SUM($C$57:AX57),0)</f>
        <v>0</v>
      </c>
      <c r="AY95" s="14">
        <f>IF(SUM($C$38:AY38)-SUM($C$57:AY57)&gt;0,SUM($C$38:AY38)-SUM($C$57:AY57),0)</f>
        <v>0</v>
      </c>
      <c r="AZ95" s="14">
        <f>IF(SUM($C$38:AZ38)-SUM($C$57:AZ57)&gt;0,SUM($C$38:AZ38)-SUM($C$57:AZ57),0)</f>
        <v>0</v>
      </c>
      <c r="BA95" s="14">
        <f>IF(SUM($C$38:BA38)-SUM($C$57:BA57)&gt;0,SUM($C$38:BA38)-SUM($C$57:BA57),0)</f>
        <v>0</v>
      </c>
      <c r="BB95" s="14">
        <f>IF(SUM($C$38:BB38)-SUM($C$57:BB57)&gt;0,SUM($C$38:BB38)-SUM($C$57:BB57),0)</f>
        <v>0</v>
      </c>
      <c r="BC95" s="14">
        <f>IF(SUM($C$38:BC38)-SUM($C$57:BC57)&gt;0,SUM($C$38:BC38)-SUM($C$57:BC57),0)</f>
        <v>0</v>
      </c>
      <c r="BD95" s="14">
        <f>IF(SUM($C$38:BD38)-SUM($C$57:BD57)&gt;0,SUM($C$38:BD38)-SUM($C$57:BD57),0)</f>
        <v>0</v>
      </c>
      <c r="BE95" s="14">
        <f>IF(SUM($C$38:BE38)-SUM($C$57:BE57)&gt;0,SUM($C$38:BE38)-SUM($C$57:BE57),0)</f>
        <v>0</v>
      </c>
      <c r="BF95" s="14">
        <f>IF(SUM($C$38:BF38)-SUM($C$57:BF57)&gt;0,SUM($C$38:BF38)-SUM($C$57:BF57),0)</f>
        <v>0</v>
      </c>
      <c r="BG95" s="14">
        <f>IF(SUM($C$38:BG38)-SUM($C$57:BG57)&gt;0,SUM($C$38:BG38)-SUM($C$57:BG57),0)</f>
        <v>0</v>
      </c>
      <c r="BH95" s="14">
        <f>IF(SUM($C$38:BH38)-SUM($C$57:BH57)&gt;0,SUM($C$38:BH38)-SUM($C$57:BH57),0)</f>
        <v>0</v>
      </c>
      <c r="BI95" s="14">
        <f>IF(SUM($C$38:BI38)-SUM($C$57:BI57)&gt;0,SUM($C$38:BI38)-SUM($C$57:BI57),0)</f>
        <v>0</v>
      </c>
      <c r="BJ95" s="14">
        <f>IF(SUM($C$38:BJ38)-SUM($C$57:BJ57)&gt;0,SUM($C$38:BJ38)-SUM($C$57:BJ57),0)</f>
        <v>0</v>
      </c>
      <c r="BK95" s="14">
        <f>IF(SUM($C$38:BK38)-SUM($C$57:BK57)&gt;0,SUM($C$38:BK38)-SUM($C$57:BK57),0)</f>
        <v>0</v>
      </c>
      <c r="BL95" s="93">
        <f>IF(SUM($C$38:BL38)-SUM($C$57:BL57)&gt;0,SUM($C$38:BL38)-SUM($C$57:BL57),0)</f>
        <v>0</v>
      </c>
      <c r="BM95" s="93" t="e">
        <f>IF(SUM($C$38:BM38)-SUM($C$57:BM57)&gt;0,SUM($C$38:BM38)-SUM($C$57:BM57),0)</f>
        <v>#DIV/0!</v>
      </c>
      <c r="BN95" s="93" t="e">
        <f>IF(SUM($C$38:BN38)-SUM($C$57:BN57)&gt;0,SUM($C$38:BN38)-SUM($C$57:BN57),0)</f>
        <v>#DIV/0!</v>
      </c>
      <c r="BO95" s="93" t="e">
        <f>IF(SUM($C$38:BO38)-SUM($C$57:BO57)&gt;0,SUM($C$38:BO38)-SUM($C$57:BO57),0)</f>
        <v>#DIV/0!</v>
      </c>
      <c r="BP95" s="93" t="e">
        <f>IF(SUM($C$38:BP38)-SUM($C$57:BP57)&gt;0,SUM($C$38:BP38)-SUM($C$57:BP57),0)</f>
        <v>#DIV/0!</v>
      </c>
      <c r="BQ95" s="93" t="e">
        <f>IF(SUM($C$38:BQ38)-SUM($C$57:BQ57)&gt;0,SUM($C$38:BQ38)-SUM($C$57:BQ57),0)</f>
        <v>#DIV/0!</v>
      </c>
      <c r="BR95" s="93" t="e">
        <f>IF(SUM($C$38:BR38)-SUM($C$57:BR57)&gt;0,SUM($C$38:BR38)-SUM($C$57:BR57),0)</f>
        <v>#DIV/0!</v>
      </c>
      <c r="BS95" s="93" t="e">
        <f>IF(SUM($C$38:BS38)-SUM($C$57:BS57)&gt;0,SUM($C$38:BS38)-SUM($C$57:BS57),0)</f>
        <v>#DIV/0!</v>
      </c>
      <c r="BT95" s="93" t="e">
        <f>IF(SUM($C$38:BT38)-SUM($C$57:BT57)&gt;0,SUM($C$38:BT38)-SUM($C$57:BT57),0)</f>
        <v>#DIV/0!</v>
      </c>
      <c r="BU95" s="93" t="e">
        <f>IF(SUM($C$38:BU38)-SUM($C$57:BU57)&gt;0,SUM($C$38:BU38)-SUM($C$57:BU57),0)</f>
        <v>#DIV/0!</v>
      </c>
      <c r="BV95" s="93" t="e">
        <f>IF(SUM($C$38:BV38)-SUM($C$57:BV57)&gt;0,SUM($C$38:BV38)-SUM($C$57:BV57),0)</f>
        <v>#DIV/0!</v>
      </c>
      <c r="BW95" s="93" t="e">
        <f>IF(SUM($C$38:BW38)-SUM($C$57:BW57)&gt;0,SUM($C$38:BW38)-SUM($C$57:BW57),0)</f>
        <v>#DIV/0!</v>
      </c>
    </row>
    <row r="96" spans="1:75" hidden="1" x14ac:dyDescent="0.3">
      <c r="A96" s="104" t="str">
        <f t="shared" si="30"/>
        <v xml:space="preserve">Saldos del crédito </v>
      </c>
      <c r="B96" s="105"/>
      <c r="C96" s="14">
        <f>IF(SUM($C$39:C39)-SUM($C$58:C58)&gt;0,SUM($C$39:C39)-SUM($C$58:C58),0)</f>
        <v>0</v>
      </c>
      <c r="D96" s="14">
        <f>IF(SUM($C$39:D39)-SUM($C$58:D58)&gt;0,SUM($C$39:D39)-SUM($C$58:D58),0)</f>
        <v>0</v>
      </c>
      <c r="E96" s="14">
        <f>IF(SUM($C$39:E39)-SUM($C$58:E58)&gt;0,SUM($C$39:E39)-SUM($C$58:E58),0)</f>
        <v>0</v>
      </c>
      <c r="F96" s="14">
        <f>IF(SUM($C$39:F39)-SUM($C$58:F58)&gt;0,SUM($C$39:F39)-SUM($C$58:F58),0)</f>
        <v>0</v>
      </c>
      <c r="G96" s="14">
        <f>IF(SUM($C$39:G39)-SUM($C$58:G58)&gt;0,SUM($C$39:G39)-SUM($C$58:G58),0)</f>
        <v>0</v>
      </c>
      <c r="H96" s="14">
        <f>IF(SUM($C$39:H39)-SUM($C$58:H58)&gt;0,SUM($C$39:H39)-SUM($C$58:H58),0)</f>
        <v>0</v>
      </c>
      <c r="I96" s="14">
        <f>IF(SUM($C$39:I39)-SUM($C$58:I58)&gt;0,SUM($C$39:I39)-SUM($C$58:I58),0)</f>
        <v>0</v>
      </c>
      <c r="J96" s="14">
        <f>IF(SUM($C$39:J39)-SUM($C$58:J58)&gt;0,SUM($C$39:J39)-SUM($C$58:J58),0)</f>
        <v>0</v>
      </c>
      <c r="K96" s="14">
        <f>IF(SUM($C$39:K39)-SUM($C$58:K58)&gt;0,SUM($C$39:K39)-SUM($C$58:K58),0)</f>
        <v>0</v>
      </c>
      <c r="L96" s="14">
        <f>IF(SUM($C$39:L39)-SUM($C$58:L58)&gt;0,SUM($C$39:L39)-SUM($C$58:L58),0)</f>
        <v>0</v>
      </c>
      <c r="M96" s="14">
        <f>IF(SUM($C$39:M39)-SUM($C$58:M58)&gt;0,SUM($C$39:M39)-SUM($C$58:M58),0)</f>
        <v>0</v>
      </c>
      <c r="N96" s="14">
        <f>IF(SUM($C$39:N39)-SUM($C$58:N58)&gt;0,SUM($C$39:N39)-SUM($C$58:N58),0)</f>
        <v>0</v>
      </c>
      <c r="O96" s="14">
        <f>IF(SUM($C$39:O39)-SUM($C$58:O58)&gt;0,SUM($C$39:O39)-SUM($C$58:O58),0)</f>
        <v>0</v>
      </c>
      <c r="P96" s="14">
        <f>IF(SUM($C$39:P39)-SUM($C$58:P58)&gt;0,SUM($C$39:P39)-SUM($C$58:P58),0)</f>
        <v>0</v>
      </c>
      <c r="Q96" s="14">
        <f>IF(SUM($C$39:Q39)-SUM($C$58:Q58)&gt;0,SUM($C$39:Q39)-SUM($C$58:Q58),0)</f>
        <v>0</v>
      </c>
      <c r="R96" s="14">
        <f>IF(SUM($C$39:R39)-SUM($C$58:R58)&gt;0,SUM($C$39:R39)-SUM($C$58:R58),0)</f>
        <v>0</v>
      </c>
      <c r="S96" s="14">
        <f>IF(SUM($C$39:S39)-SUM($C$58:S58)&gt;0,SUM($C$39:S39)-SUM($C$58:S58),0)</f>
        <v>0</v>
      </c>
      <c r="T96" s="14">
        <f>IF(SUM($C$39:T39)-SUM($C$58:T58)&gt;0,SUM($C$39:T39)-SUM($C$58:T58),0)</f>
        <v>0</v>
      </c>
      <c r="U96" s="14">
        <f>IF(SUM($C$39:U39)-SUM($C$58:U58)&gt;0,SUM($C$39:U39)-SUM($C$58:U58),0)</f>
        <v>0</v>
      </c>
      <c r="V96" s="14">
        <f>IF(SUM($C$39:V39)-SUM($C$58:V58)&gt;0,SUM($C$39:V39)-SUM($C$58:V58),0)</f>
        <v>0</v>
      </c>
      <c r="W96" s="14">
        <f>IF(SUM($C$39:W39)-SUM($C$58:W58)&gt;0,SUM($C$39:W39)-SUM($C$58:W58),0)</f>
        <v>0</v>
      </c>
      <c r="X96" s="14">
        <f>IF(SUM($C$39:X39)-SUM($C$58:X58)&gt;0,SUM($C$39:X39)-SUM($C$58:X58),0)</f>
        <v>0</v>
      </c>
      <c r="Y96" s="14">
        <f>IF(SUM($C$39:Y39)-SUM($C$58:Y58)&gt;0,SUM($C$39:Y39)-SUM($C$58:Y58),0)</f>
        <v>0</v>
      </c>
      <c r="Z96" s="14">
        <f>IF(SUM($C$39:Z39)-SUM($C$58:Z58)&gt;0,SUM($C$39:Z39)-SUM($C$58:Z58),0)</f>
        <v>0</v>
      </c>
      <c r="AA96" s="14">
        <f>IF(SUM($C$39:AA39)-SUM($C$58:AA58)&gt;0,SUM($C$39:AA39)-SUM($C$58:AA58),0)</f>
        <v>0</v>
      </c>
      <c r="AB96" s="14">
        <f>IF(SUM($C$39:AB39)-SUM($C$58:AB58)&gt;0,SUM($C$39:AB39)-SUM($C$58:AB58),0)</f>
        <v>0</v>
      </c>
      <c r="AC96" s="14">
        <f>IF(SUM($C$39:AC39)-SUM($C$58:AC58)&gt;0,SUM($C$39:AC39)-SUM($C$58:AC58),0)</f>
        <v>0</v>
      </c>
      <c r="AD96" s="14">
        <f>IF(SUM($C$39:AD39)-SUM($C$58:AD58)&gt;0,SUM($C$39:AD39)-SUM($C$58:AD58),0)</f>
        <v>0</v>
      </c>
      <c r="AE96" s="14">
        <f>IF(SUM($C$39:AE39)-SUM($C$58:AE58)&gt;0,SUM($C$39:AE39)-SUM($C$58:AE58),0)</f>
        <v>0</v>
      </c>
      <c r="AF96" s="14">
        <f>IF(SUM($C$39:AF39)-SUM($C$58:AF58)&gt;0,SUM($C$39:AF39)-SUM($C$58:AF58),0)</f>
        <v>0</v>
      </c>
      <c r="AG96" s="14">
        <f>IF(SUM($C$39:AG39)-SUM($C$58:AG58)&gt;0,SUM($C$39:AG39)-SUM($C$58:AG58),0)</f>
        <v>0</v>
      </c>
      <c r="AH96" s="14">
        <f>IF(SUM($C$39:AH39)-SUM($C$58:AH58)&gt;0,SUM($C$39:AH39)-SUM($C$58:AH58),0)</f>
        <v>0</v>
      </c>
      <c r="AI96" s="14">
        <f>IF(SUM($C$39:AI39)-SUM($C$58:AI58)&gt;0,SUM($C$39:AI39)-SUM($C$58:AI58),0)</f>
        <v>0</v>
      </c>
      <c r="AJ96" s="14">
        <f>IF(SUM($C$39:AJ39)-SUM($C$58:AJ58)&gt;0,SUM($C$39:AJ39)-SUM($C$58:AJ58),0)</f>
        <v>0</v>
      </c>
      <c r="AK96" s="14">
        <f>IF(SUM($C$39:AK39)-SUM($C$58:AK58)&gt;0,SUM($C$39:AK39)-SUM($C$58:AK58),0)</f>
        <v>0</v>
      </c>
      <c r="AL96" s="14">
        <f>IF(SUM($C$39:AL39)-SUM($C$58:AL58)&gt;0,SUM($C$39:AL39)-SUM($C$58:AL58),0)</f>
        <v>0</v>
      </c>
      <c r="AM96" s="14">
        <f>IF(SUM($C$39:AM39)-SUM($C$58:AM58)&gt;0,SUM($C$39:AM39)-SUM($C$58:AM58),0)</f>
        <v>0</v>
      </c>
      <c r="AN96" s="14">
        <f>IF(SUM($C$39:AN39)-SUM($C$58:AN58)&gt;0,SUM($C$39:AN39)-SUM($C$58:AN58),0)</f>
        <v>0</v>
      </c>
      <c r="AO96" s="14">
        <f>IF(SUM($C$39:AO39)-SUM($C$58:AO58)&gt;0,SUM($C$39:AO39)-SUM($C$58:AO58),0)</f>
        <v>0</v>
      </c>
      <c r="AP96" s="14">
        <f>IF(SUM($C$39:AP39)-SUM($C$58:AP58)&gt;0,SUM($C$39:AP39)-SUM($C$58:AP58),0)</f>
        <v>0</v>
      </c>
      <c r="AQ96" s="14">
        <f>IF(SUM($C$39:AQ39)-SUM($C$58:AQ58)&gt;0,SUM($C$39:AQ39)-SUM($C$58:AQ58),0)</f>
        <v>0</v>
      </c>
      <c r="AR96" s="14">
        <f>IF(SUM($C$39:AR39)-SUM($C$58:AR58)&gt;0,SUM($C$39:AR39)-SUM($C$58:AR58),0)</f>
        <v>0</v>
      </c>
      <c r="AS96" s="14">
        <f>IF(SUM($C$39:AS39)-SUM($C$58:AS58)&gt;0,SUM($C$39:AS39)-SUM($C$58:AS58),0)</f>
        <v>0</v>
      </c>
      <c r="AT96" s="14">
        <f>IF(SUM($C$39:AT39)-SUM($C$58:AT58)&gt;0,SUM($C$39:AT39)-SUM($C$58:AT58),0)</f>
        <v>0</v>
      </c>
      <c r="AU96" s="14">
        <f>IF(SUM($C$39:AU39)-SUM($C$58:AU58)&gt;0,SUM($C$39:AU39)-SUM($C$58:AU58),0)</f>
        <v>0</v>
      </c>
      <c r="AV96" s="14">
        <f>IF(SUM($C$39:AV39)-SUM($C$58:AV58)&gt;0,SUM($C$39:AV39)-SUM($C$58:AV58),0)</f>
        <v>0</v>
      </c>
      <c r="AW96" s="14">
        <f>IF(SUM($C$39:AW39)-SUM($C$58:AW58)&gt;0,SUM($C$39:AW39)-SUM($C$58:AW58),0)</f>
        <v>0</v>
      </c>
      <c r="AX96" s="14">
        <f>IF(SUM($C$39:AX39)-SUM($C$58:AX58)&gt;0,SUM($C$39:AX39)-SUM($C$58:AX58),0)</f>
        <v>0</v>
      </c>
      <c r="AY96" s="14">
        <f>IF(SUM($C$39:AY39)-SUM($C$58:AY58)&gt;0,SUM($C$39:AY39)-SUM($C$58:AY58),0)</f>
        <v>0</v>
      </c>
      <c r="AZ96" s="14">
        <f>IF(SUM($C$39:AZ39)-SUM($C$58:AZ58)&gt;0,SUM($C$39:AZ39)-SUM($C$58:AZ58),0)</f>
        <v>0</v>
      </c>
      <c r="BA96" s="14">
        <f>IF(SUM($C$39:BA39)-SUM($C$58:BA58)&gt;0,SUM($C$39:BA39)-SUM($C$58:BA58),0)</f>
        <v>0</v>
      </c>
      <c r="BB96" s="14">
        <f>IF(SUM($C$39:BB39)-SUM($C$58:BB58)&gt;0,SUM($C$39:BB39)-SUM($C$58:BB58),0)</f>
        <v>0</v>
      </c>
      <c r="BC96" s="14">
        <f>IF(SUM($C$39:BC39)-SUM($C$58:BC58)&gt;0,SUM($C$39:BC39)-SUM($C$58:BC58),0)</f>
        <v>0</v>
      </c>
      <c r="BD96" s="14">
        <f>IF(SUM($C$39:BD39)-SUM($C$58:BD58)&gt;0,SUM($C$39:BD39)-SUM($C$58:BD58),0)</f>
        <v>0</v>
      </c>
      <c r="BE96" s="14">
        <f>IF(SUM($C$39:BE39)-SUM($C$58:BE58)&gt;0,SUM($C$39:BE39)-SUM($C$58:BE58),0)</f>
        <v>0</v>
      </c>
      <c r="BF96" s="14">
        <f>IF(SUM($C$39:BF39)-SUM($C$58:BF58)&gt;0,SUM($C$39:BF39)-SUM($C$58:BF58),0)</f>
        <v>0</v>
      </c>
      <c r="BG96" s="14">
        <f>IF(SUM($C$39:BG39)-SUM($C$58:BG58)&gt;0,SUM($C$39:BG39)-SUM($C$58:BG58),0)</f>
        <v>0</v>
      </c>
      <c r="BH96" s="14">
        <f>IF(SUM($C$39:BH39)-SUM($C$58:BH58)&gt;0,SUM($C$39:BH39)-SUM($C$58:BH58),0)</f>
        <v>0</v>
      </c>
      <c r="BI96" s="14">
        <f>IF(SUM($C$39:BI39)-SUM($C$58:BI58)&gt;0,SUM($C$39:BI39)-SUM($C$58:BI58),0)</f>
        <v>0</v>
      </c>
      <c r="BJ96" s="14">
        <f>IF(SUM($C$39:BJ39)-SUM($C$58:BJ58)&gt;0,SUM($C$39:BJ39)-SUM($C$58:BJ58),0)</f>
        <v>0</v>
      </c>
      <c r="BK96" s="14">
        <f>IF(SUM($C$39:BK39)-SUM($C$58:BK58)&gt;0,SUM($C$39:BK39)-SUM($C$58:BK58),0)</f>
        <v>0</v>
      </c>
      <c r="BL96" s="93">
        <f>IF(SUM($C$39:BL39)-SUM($C$58:BL58)&gt;0,SUM($C$39:BL39)-SUM($C$58:BL58),0)</f>
        <v>0</v>
      </c>
      <c r="BM96" s="93" t="e">
        <f>IF(SUM($C$39:BM39)-SUM($C$58:BM58)&gt;0,SUM($C$39:BM39)-SUM($C$58:BM58),0)</f>
        <v>#DIV/0!</v>
      </c>
      <c r="BN96" s="93" t="e">
        <f>IF(SUM($C$39:BN39)-SUM($C$58:BN58)&gt;0,SUM($C$39:BN39)-SUM($C$58:BN58),0)</f>
        <v>#DIV/0!</v>
      </c>
      <c r="BO96" s="93" t="e">
        <f>IF(SUM($C$39:BO39)-SUM($C$58:BO58)&gt;0,SUM($C$39:BO39)-SUM($C$58:BO58),0)</f>
        <v>#DIV/0!</v>
      </c>
      <c r="BP96" s="93" t="e">
        <f>IF(SUM($C$39:BP39)-SUM($C$58:BP58)&gt;0,SUM($C$39:BP39)-SUM($C$58:BP58),0)</f>
        <v>#DIV/0!</v>
      </c>
      <c r="BQ96" s="93" t="e">
        <f>IF(SUM($C$39:BQ39)-SUM($C$58:BQ58)&gt;0,SUM($C$39:BQ39)-SUM($C$58:BQ58),0)</f>
        <v>#DIV/0!</v>
      </c>
      <c r="BR96" s="93" t="e">
        <f>IF(SUM($C$39:BR39)-SUM($C$58:BR58)&gt;0,SUM($C$39:BR39)-SUM($C$58:BR58),0)</f>
        <v>#DIV/0!</v>
      </c>
      <c r="BS96" s="93" t="e">
        <f>IF(SUM($C$39:BS39)-SUM($C$58:BS58)&gt;0,SUM($C$39:BS39)-SUM($C$58:BS58),0)</f>
        <v>#DIV/0!</v>
      </c>
      <c r="BT96" s="93" t="e">
        <f>IF(SUM($C$39:BT39)-SUM($C$58:BT58)&gt;0,SUM($C$39:BT39)-SUM($C$58:BT58),0)</f>
        <v>#DIV/0!</v>
      </c>
      <c r="BU96" s="93" t="e">
        <f>IF(SUM($C$39:BU39)-SUM($C$58:BU58)&gt;0,SUM($C$39:BU39)-SUM($C$58:BU58),0)</f>
        <v>#DIV/0!</v>
      </c>
      <c r="BV96" s="93" t="e">
        <f>IF(SUM($C$39:BV39)-SUM($C$58:BV58)&gt;0,SUM($C$39:BV39)-SUM($C$58:BV58),0)</f>
        <v>#DIV/0!</v>
      </c>
      <c r="BW96" s="93" t="e">
        <f>IF(SUM($C$39:BW39)-SUM($C$58:BW58)&gt;0,SUM($C$39:BW39)-SUM($C$58:BW58),0)</f>
        <v>#DIV/0!</v>
      </c>
    </row>
    <row r="97" spans="1:75" hidden="1" x14ac:dyDescent="0.3">
      <c r="A97" s="104" t="str">
        <f t="shared" si="30"/>
        <v xml:space="preserve">Saldos del crédito </v>
      </c>
      <c r="B97" s="105"/>
      <c r="C97" s="14">
        <f>IF(SUM($C$40:C40)-SUM($C$59:C59)&gt;0,SUM($C$40:C40)-SUM($C$59:C59),0)</f>
        <v>0</v>
      </c>
      <c r="D97" s="14">
        <f>IF(SUM($C$40:D40)-SUM($C$59:D59)&gt;0,SUM($C$40:D40)-SUM($C$59:D59),0)</f>
        <v>0</v>
      </c>
      <c r="E97" s="14">
        <f>IF(SUM($C$40:E40)-SUM($C$59:E59)&gt;0,SUM($C$40:E40)-SUM($C$59:E59),0)</f>
        <v>0</v>
      </c>
      <c r="F97" s="14">
        <f>IF(SUM($C$40:F40)-SUM($C$59:F59)&gt;0,SUM($C$40:F40)-SUM($C$59:F59),0)</f>
        <v>0</v>
      </c>
      <c r="G97" s="14">
        <f>IF(SUM($C$40:G40)-SUM($C$59:G59)&gt;0,SUM($C$40:G40)-SUM($C$59:G59),0)</f>
        <v>0</v>
      </c>
      <c r="H97" s="14">
        <f>IF(SUM($C$40:H40)-SUM($C$59:H59)&gt;0,SUM($C$40:H40)-SUM($C$59:H59),0)</f>
        <v>0</v>
      </c>
      <c r="I97" s="14">
        <f>IF(SUM($C$40:I40)-SUM($C$59:I59)&gt;0,SUM($C$40:I40)-SUM($C$59:I59),0)</f>
        <v>0</v>
      </c>
      <c r="J97" s="14">
        <f>IF(SUM($C$40:J40)-SUM($C$59:J59)&gt;0,SUM($C$40:J40)-SUM($C$59:J59),0)</f>
        <v>0</v>
      </c>
      <c r="K97" s="14">
        <f>IF(SUM($C$40:K40)-SUM($C$59:K59)&gt;0,SUM($C$40:K40)-SUM($C$59:K59),0)</f>
        <v>0</v>
      </c>
      <c r="L97" s="14">
        <f>IF(SUM($C$40:L40)-SUM($C$59:L59)&gt;0,SUM($C$40:L40)-SUM($C$59:L59),0)</f>
        <v>0</v>
      </c>
      <c r="M97" s="14">
        <f>IF(SUM($C$40:M40)-SUM($C$59:M59)&gt;0,SUM($C$40:M40)-SUM($C$59:M59),0)</f>
        <v>0</v>
      </c>
      <c r="N97" s="14">
        <f>IF(SUM($C$40:N40)-SUM($C$59:N59)&gt;0,SUM($C$40:N40)-SUM($C$59:N59),0)</f>
        <v>0</v>
      </c>
      <c r="O97" s="14">
        <f>IF(SUM($C$40:O40)-SUM($C$59:O59)&gt;0,SUM($C$40:O40)-SUM($C$59:O59),0)</f>
        <v>0</v>
      </c>
      <c r="P97" s="14">
        <f>IF(SUM($C$40:P40)-SUM($C$59:P59)&gt;0,SUM($C$40:P40)-SUM($C$59:P59),0)</f>
        <v>0</v>
      </c>
      <c r="Q97" s="14">
        <f>IF(SUM($C$40:Q40)-SUM($C$59:Q59)&gt;0,SUM($C$40:Q40)-SUM($C$59:Q59),0)</f>
        <v>0</v>
      </c>
      <c r="R97" s="14">
        <f>IF(SUM($C$40:R40)-SUM($C$59:R59)&gt;0,SUM($C$40:R40)-SUM($C$59:R59),0)</f>
        <v>0</v>
      </c>
      <c r="S97" s="14">
        <f>IF(SUM($C$40:S40)-SUM($C$59:S59)&gt;0,SUM($C$40:S40)-SUM($C$59:S59),0)</f>
        <v>0</v>
      </c>
      <c r="T97" s="14">
        <f>IF(SUM($C$40:T40)-SUM($C$59:T59)&gt;0,SUM($C$40:T40)-SUM($C$59:T59),0)</f>
        <v>0</v>
      </c>
      <c r="U97" s="14">
        <f>IF(SUM($C$40:U40)-SUM($C$59:U59)&gt;0,SUM($C$40:U40)-SUM($C$59:U59),0)</f>
        <v>0</v>
      </c>
      <c r="V97" s="14">
        <f>IF(SUM($C$40:V40)-SUM($C$59:V59)&gt;0,SUM($C$40:V40)-SUM($C$59:V59),0)</f>
        <v>0</v>
      </c>
      <c r="W97" s="14">
        <f>IF(SUM($C$40:W40)-SUM($C$59:W59)&gt;0,SUM($C$40:W40)-SUM($C$59:W59),0)</f>
        <v>0</v>
      </c>
      <c r="X97" s="14">
        <f>IF(SUM($C$40:X40)-SUM($C$59:X59)&gt;0,SUM($C$40:X40)-SUM($C$59:X59),0)</f>
        <v>0</v>
      </c>
      <c r="Y97" s="14">
        <f>IF(SUM($C$40:Y40)-SUM($C$59:Y59)&gt;0,SUM($C$40:Y40)-SUM($C$59:Y59),0)</f>
        <v>0</v>
      </c>
      <c r="Z97" s="14">
        <f>IF(SUM($C$40:Z40)-SUM($C$59:Z59)&gt;0,SUM($C$40:Z40)-SUM($C$59:Z59),0)</f>
        <v>0</v>
      </c>
      <c r="AA97" s="14">
        <f>IF(SUM($C$40:AA40)-SUM($C$59:AA59)&gt;0,SUM($C$40:AA40)-SUM($C$59:AA59),0)</f>
        <v>0</v>
      </c>
      <c r="AB97" s="14">
        <f>IF(SUM($C$40:AB40)-SUM($C$59:AB59)&gt;0,SUM($C$40:AB40)-SUM($C$59:AB59),0)</f>
        <v>0</v>
      </c>
      <c r="AC97" s="14">
        <f>IF(SUM($C$40:AC40)-SUM($C$59:AC59)&gt;0,SUM($C$40:AC40)-SUM($C$59:AC59),0)</f>
        <v>0</v>
      </c>
      <c r="AD97" s="14">
        <f>IF(SUM($C$40:AD40)-SUM($C$59:AD59)&gt;0,SUM($C$40:AD40)-SUM($C$59:AD59),0)</f>
        <v>0</v>
      </c>
      <c r="AE97" s="14">
        <f>IF(SUM($C$40:AE40)-SUM($C$59:AE59)&gt;0,SUM($C$40:AE40)-SUM($C$59:AE59),0)</f>
        <v>0</v>
      </c>
      <c r="AF97" s="14">
        <f>IF(SUM($C$40:AF40)-SUM($C$59:AF59)&gt;0,SUM($C$40:AF40)-SUM($C$59:AF59),0)</f>
        <v>0</v>
      </c>
      <c r="AG97" s="14">
        <f>IF(SUM($C$40:AG40)-SUM($C$59:AG59)&gt;0,SUM($C$40:AG40)-SUM($C$59:AG59),0)</f>
        <v>0</v>
      </c>
      <c r="AH97" s="14">
        <f>IF(SUM($C$40:AH40)-SUM($C$59:AH59)&gt;0,SUM($C$40:AH40)-SUM($C$59:AH59),0)</f>
        <v>0</v>
      </c>
      <c r="AI97" s="14">
        <f>IF(SUM($C$40:AI40)-SUM($C$59:AI59)&gt;0,SUM($C$40:AI40)-SUM($C$59:AI59),0)</f>
        <v>0</v>
      </c>
      <c r="AJ97" s="14">
        <f>IF(SUM($C$40:AJ40)-SUM($C$59:AJ59)&gt;0,SUM($C$40:AJ40)-SUM($C$59:AJ59),0)</f>
        <v>0</v>
      </c>
      <c r="AK97" s="14">
        <f>IF(SUM($C$40:AK40)-SUM($C$59:AK59)&gt;0,SUM($C$40:AK40)-SUM($C$59:AK59),0)</f>
        <v>0</v>
      </c>
      <c r="AL97" s="14">
        <f>IF(SUM($C$40:AL40)-SUM($C$59:AL59)&gt;0,SUM($C$40:AL40)-SUM($C$59:AL59),0)</f>
        <v>0</v>
      </c>
      <c r="AM97" s="14">
        <f>IF(SUM($C$40:AM40)-SUM($C$59:AM59)&gt;0,SUM($C$40:AM40)-SUM($C$59:AM59),0)</f>
        <v>0</v>
      </c>
      <c r="AN97" s="14">
        <f>IF(SUM($C$40:AN40)-SUM($C$59:AN59)&gt;0,SUM($C$40:AN40)-SUM($C$59:AN59),0)</f>
        <v>0</v>
      </c>
      <c r="AO97" s="14">
        <f>IF(SUM($C$40:AO40)-SUM($C$59:AO59)&gt;0,SUM($C$40:AO40)-SUM($C$59:AO59),0)</f>
        <v>0</v>
      </c>
      <c r="AP97" s="14">
        <f>IF(SUM($C$40:AP40)-SUM($C$59:AP59)&gt;0,SUM($C$40:AP40)-SUM($C$59:AP59),0)</f>
        <v>0</v>
      </c>
      <c r="AQ97" s="14">
        <f>IF(SUM($C$40:AQ40)-SUM($C$59:AQ59)&gt;0,SUM($C$40:AQ40)-SUM($C$59:AQ59),0)</f>
        <v>0</v>
      </c>
      <c r="AR97" s="14">
        <f>IF(SUM($C$40:AR40)-SUM($C$59:AR59)&gt;0,SUM($C$40:AR40)-SUM($C$59:AR59),0)</f>
        <v>0</v>
      </c>
      <c r="AS97" s="14">
        <f>IF(SUM($C$40:AS40)-SUM($C$59:AS59)&gt;0,SUM($C$40:AS40)-SUM($C$59:AS59),0)</f>
        <v>0</v>
      </c>
      <c r="AT97" s="14">
        <f>IF(SUM($C$40:AT40)-SUM($C$59:AT59)&gt;0,SUM($C$40:AT40)-SUM($C$59:AT59),0)</f>
        <v>0</v>
      </c>
      <c r="AU97" s="14">
        <f>IF(SUM($C$40:AU40)-SUM($C$59:AU59)&gt;0,SUM($C$40:AU40)-SUM($C$59:AU59),0)</f>
        <v>0</v>
      </c>
      <c r="AV97" s="14">
        <f>IF(SUM($C$40:AV40)-SUM($C$59:AV59)&gt;0,SUM($C$40:AV40)-SUM($C$59:AV59),0)</f>
        <v>0</v>
      </c>
      <c r="AW97" s="14">
        <f>IF(SUM($C$40:AW40)-SUM($C$59:AW59)&gt;0,SUM($C$40:AW40)-SUM($C$59:AW59),0)</f>
        <v>0</v>
      </c>
      <c r="AX97" s="14">
        <f>IF(SUM($C$40:AX40)-SUM($C$59:AX59)&gt;0,SUM($C$40:AX40)-SUM($C$59:AX59),0)</f>
        <v>0</v>
      </c>
      <c r="AY97" s="14">
        <f>IF(SUM($C$40:AY40)-SUM($C$59:AY59)&gt;0,SUM($C$40:AY40)-SUM($C$59:AY59),0)</f>
        <v>0</v>
      </c>
      <c r="AZ97" s="14">
        <f>IF(SUM($C$40:AZ40)-SUM($C$59:AZ59)&gt;0,SUM($C$40:AZ40)-SUM($C$59:AZ59),0)</f>
        <v>0</v>
      </c>
      <c r="BA97" s="14">
        <f>IF(SUM($C$40:BA40)-SUM($C$59:BA59)&gt;0,SUM($C$40:BA40)-SUM($C$59:BA59),0)</f>
        <v>0</v>
      </c>
      <c r="BB97" s="14">
        <f>IF(SUM($C$40:BB40)-SUM($C$59:BB59)&gt;0,SUM($C$40:BB40)-SUM($C$59:BB59),0)</f>
        <v>0</v>
      </c>
      <c r="BC97" s="14">
        <f>IF(SUM($C$40:BC40)-SUM($C$59:BC59)&gt;0,SUM($C$40:BC40)-SUM($C$59:BC59),0)</f>
        <v>0</v>
      </c>
      <c r="BD97" s="14">
        <f>IF(SUM($C$40:BD40)-SUM($C$59:BD59)&gt;0,SUM($C$40:BD40)-SUM($C$59:BD59),0)</f>
        <v>0</v>
      </c>
      <c r="BE97" s="14">
        <f>IF(SUM($C$40:BE40)-SUM($C$59:BE59)&gt;0,SUM($C$40:BE40)-SUM($C$59:BE59),0)</f>
        <v>0</v>
      </c>
      <c r="BF97" s="14">
        <f>IF(SUM($C$40:BF40)-SUM($C$59:BF59)&gt;0,SUM($C$40:BF40)-SUM($C$59:BF59),0)</f>
        <v>0</v>
      </c>
      <c r="BG97" s="14">
        <f>IF(SUM($C$40:BG40)-SUM($C$59:BG59)&gt;0,SUM($C$40:BG40)-SUM($C$59:BG59),0)</f>
        <v>0</v>
      </c>
      <c r="BH97" s="14">
        <f>IF(SUM($C$40:BH40)-SUM($C$59:BH59)&gt;0,SUM($C$40:BH40)-SUM($C$59:BH59),0)</f>
        <v>0</v>
      </c>
      <c r="BI97" s="14">
        <f>IF(SUM($C$40:BI40)-SUM($C$59:BI59)&gt;0,SUM($C$40:BI40)-SUM($C$59:BI59),0)</f>
        <v>0</v>
      </c>
      <c r="BJ97" s="14">
        <f>IF(SUM($C$40:BJ40)-SUM($C$59:BJ59)&gt;0,SUM($C$40:BJ40)-SUM($C$59:BJ59),0)</f>
        <v>0</v>
      </c>
      <c r="BK97" s="14">
        <f>IF(SUM($C$40:BK40)-SUM($C$59:BK59)&gt;0,SUM($C$40:BK40)-SUM($C$59:BK59),0)</f>
        <v>0</v>
      </c>
      <c r="BL97" s="93">
        <f>IF(SUM($C$40:BL40)-SUM($C$59:BL59)&gt;0,SUM($C$40:BL40)-SUM($C$59:BL59),0)</f>
        <v>0</v>
      </c>
      <c r="BM97" s="93" t="e">
        <f>IF(SUM($C$40:BM40)-SUM($C$59:BM59)&gt;0,SUM($C$40:BM40)-SUM($C$59:BM59),0)</f>
        <v>#DIV/0!</v>
      </c>
      <c r="BN97" s="93" t="e">
        <f>IF(SUM($C$40:BN40)-SUM($C$59:BN59)&gt;0,SUM($C$40:BN40)-SUM($C$59:BN59),0)</f>
        <v>#DIV/0!</v>
      </c>
      <c r="BO97" s="93" t="e">
        <f>IF(SUM($C$40:BO40)-SUM($C$59:BO59)&gt;0,SUM($C$40:BO40)-SUM($C$59:BO59),0)</f>
        <v>#DIV/0!</v>
      </c>
      <c r="BP97" s="93" t="e">
        <f>IF(SUM($C$40:BP40)-SUM($C$59:BP59)&gt;0,SUM($C$40:BP40)-SUM($C$59:BP59),0)</f>
        <v>#DIV/0!</v>
      </c>
      <c r="BQ97" s="93" t="e">
        <f>IF(SUM($C$40:BQ40)-SUM($C$59:BQ59)&gt;0,SUM($C$40:BQ40)-SUM($C$59:BQ59),0)</f>
        <v>#DIV/0!</v>
      </c>
      <c r="BR97" s="93" t="e">
        <f>IF(SUM($C$40:BR40)-SUM($C$59:BR59)&gt;0,SUM($C$40:BR40)-SUM($C$59:BR59),0)</f>
        <v>#DIV/0!</v>
      </c>
      <c r="BS97" s="93" t="e">
        <f>IF(SUM($C$40:BS40)-SUM($C$59:BS59)&gt;0,SUM($C$40:BS40)-SUM($C$59:BS59),0)</f>
        <v>#DIV/0!</v>
      </c>
      <c r="BT97" s="93" t="e">
        <f>IF(SUM($C$40:BT40)-SUM($C$59:BT59)&gt;0,SUM($C$40:BT40)-SUM($C$59:BT59),0)</f>
        <v>#DIV/0!</v>
      </c>
      <c r="BU97" s="93" t="e">
        <f>IF(SUM($C$40:BU40)-SUM($C$59:BU59)&gt;0,SUM($C$40:BU40)-SUM($C$59:BU59),0)</f>
        <v>#DIV/0!</v>
      </c>
      <c r="BV97" s="93" t="e">
        <f>IF(SUM($C$40:BV40)-SUM($C$59:BV59)&gt;0,SUM($C$40:BV40)-SUM($C$59:BV59),0)</f>
        <v>#DIV/0!</v>
      </c>
      <c r="BW97" s="93" t="e">
        <f>IF(SUM($C$40:BW40)-SUM($C$59:BW59)&gt;0,SUM($C$40:BW40)-SUM($C$59:BW59),0)</f>
        <v>#DIV/0!</v>
      </c>
    </row>
    <row r="98" spans="1:75" hidden="1" x14ac:dyDescent="0.3">
      <c r="A98" s="104" t="str">
        <f t="shared" si="30"/>
        <v xml:space="preserve">Saldos del crédito </v>
      </c>
      <c r="B98" s="105"/>
      <c r="C98" s="14">
        <f>IF(SUM($C$41:C41)-SUM($C$60:C60)&gt;0,SUM($C$41:C41)-SUM($C$60:C60),0)</f>
        <v>0</v>
      </c>
      <c r="D98" s="14">
        <f>IF(SUM($C$41:D41)-SUM($C$60:D60)&gt;0,SUM($C$41:D41)-SUM($C$60:D60),0)</f>
        <v>0</v>
      </c>
      <c r="E98" s="14">
        <f>IF(SUM($C$41:E41)-SUM($C$60:E60)&gt;0,SUM($C$41:E41)-SUM($C$60:E60),0)</f>
        <v>0</v>
      </c>
      <c r="F98" s="14">
        <f>IF(SUM($C$41:F41)-SUM($C$60:F60)&gt;0,SUM($C$41:F41)-SUM($C$60:F60),0)</f>
        <v>0</v>
      </c>
      <c r="G98" s="14">
        <f>IF(SUM($C$41:G41)-SUM($C$60:G60)&gt;0,SUM($C$41:G41)-SUM($C$60:G60),0)</f>
        <v>0</v>
      </c>
      <c r="H98" s="14">
        <f>IF(SUM($C$41:H41)-SUM($C$60:H60)&gt;0,SUM($C$41:H41)-SUM($C$60:H60),0)</f>
        <v>0</v>
      </c>
      <c r="I98" s="14">
        <f>IF(SUM($C$41:I41)-SUM($C$60:I60)&gt;0,SUM($C$41:I41)-SUM($C$60:I60),0)</f>
        <v>0</v>
      </c>
      <c r="J98" s="14">
        <f>IF(SUM($C$41:J41)-SUM($C$60:J60)&gt;0,SUM($C$41:J41)-SUM($C$60:J60),0)</f>
        <v>0</v>
      </c>
      <c r="K98" s="14">
        <f>IF(SUM($C$41:K41)-SUM($C$60:K60)&gt;0,SUM($C$41:K41)-SUM($C$60:K60),0)</f>
        <v>0</v>
      </c>
      <c r="L98" s="14">
        <f>IF(SUM($C$41:L41)-SUM($C$60:L60)&gt;0,SUM($C$41:L41)-SUM($C$60:L60),0)</f>
        <v>0</v>
      </c>
      <c r="M98" s="14">
        <f>IF(SUM($C$41:M41)-SUM($C$60:M60)&gt;0,SUM($C$41:M41)-SUM($C$60:M60),0)</f>
        <v>0</v>
      </c>
      <c r="N98" s="14">
        <f>IF(SUM($C$41:N41)-SUM($C$60:N60)&gt;0,SUM($C$41:N41)-SUM($C$60:N60),0)</f>
        <v>0</v>
      </c>
      <c r="O98" s="14">
        <f>IF(SUM($C$41:O41)-SUM($C$60:O60)&gt;0,SUM($C$41:O41)-SUM($C$60:O60),0)</f>
        <v>0</v>
      </c>
      <c r="P98" s="14">
        <f>IF(SUM($C$41:P41)-SUM($C$60:P60)&gt;0,SUM($C$41:P41)-SUM($C$60:P60),0)</f>
        <v>0</v>
      </c>
      <c r="Q98" s="14">
        <f>IF(SUM($C$41:Q41)-SUM($C$60:Q60)&gt;0,SUM($C$41:Q41)-SUM($C$60:Q60),0)</f>
        <v>0</v>
      </c>
      <c r="R98" s="14">
        <f>IF(SUM($C$41:R41)-SUM($C$60:R60)&gt;0,SUM($C$41:R41)-SUM($C$60:R60),0)</f>
        <v>0</v>
      </c>
      <c r="S98" s="14">
        <f>IF(SUM($C$41:S41)-SUM($C$60:S60)&gt;0,SUM($C$41:S41)-SUM($C$60:S60),0)</f>
        <v>0</v>
      </c>
      <c r="T98" s="14">
        <f>IF(SUM($C$41:T41)-SUM($C$60:T60)&gt;0,SUM($C$41:T41)-SUM($C$60:T60),0)</f>
        <v>0</v>
      </c>
      <c r="U98" s="14">
        <f>IF(SUM($C$41:U41)-SUM($C$60:U60)&gt;0,SUM($C$41:U41)-SUM($C$60:U60),0)</f>
        <v>0</v>
      </c>
      <c r="V98" s="14">
        <f>IF(SUM($C$41:V41)-SUM($C$60:V60)&gt;0,SUM($C$41:V41)-SUM($C$60:V60),0)</f>
        <v>0</v>
      </c>
      <c r="W98" s="14">
        <f>IF(SUM($C$41:W41)-SUM($C$60:W60)&gt;0,SUM($C$41:W41)-SUM($C$60:W60),0)</f>
        <v>0</v>
      </c>
      <c r="X98" s="14">
        <f>IF(SUM($C$41:X41)-SUM($C$60:X60)&gt;0,SUM($C$41:X41)-SUM($C$60:X60),0)</f>
        <v>0</v>
      </c>
      <c r="Y98" s="14">
        <f>IF(SUM($C$41:Y41)-SUM($C$60:Y60)&gt;0,SUM($C$41:Y41)-SUM($C$60:Y60),0)</f>
        <v>0</v>
      </c>
      <c r="Z98" s="14">
        <f>IF(SUM($C$41:Z41)-SUM($C$60:Z60)&gt;0,SUM($C$41:Z41)-SUM($C$60:Z60),0)</f>
        <v>0</v>
      </c>
      <c r="AA98" s="14">
        <f>IF(SUM($C$41:AA41)-SUM($C$60:AA60)&gt;0,SUM($C$41:AA41)-SUM($C$60:AA60),0)</f>
        <v>0</v>
      </c>
      <c r="AB98" s="14">
        <f>IF(SUM($C$41:AB41)-SUM($C$60:AB60)&gt;0,SUM($C$41:AB41)-SUM($C$60:AB60),0)</f>
        <v>0</v>
      </c>
      <c r="AC98" s="14">
        <f>IF(SUM($C$41:AC41)-SUM($C$60:AC60)&gt;0,SUM($C$41:AC41)-SUM($C$60:AC60),0)</f>
        <v>0</v>
      </c>
      <c r="AD98" s="14">
        <f>IF(SUM($C$41:AD41)-SUM($C$60:AD60)&gt;0,SUM($C$41:AD41)-SUM($C$60:AD60),0)</f>
        <v>0</v>
      </c>
      <c r="AE98" s="14">
        <f>IF(SUM($C$41:AE41)-SUM($C$60:AE60)&gt;0,SUM($C$41:AE41)-SUM($C$60:AE60),0)</f>
        <v>0</v>
      </c>
      <c r="AF98" s="14">
        <f>IF(SUM($C$41:AF41)-SUM($C$60:AF60)&gt;0,SUM($C$41:AF41)-SUM($C$60:AF60),0)</f>
        <v>0</v>
      </c>
      <c r="AG98" s="14">
        <f>IF(SUM($C$41:AG41)-SUM($C$60:AG60)&gt;0,SUM($C$41:AG41)-SUM($C$60:AG60),0)</f>
        <v>0</v>
      </c>
      <c r="AH98" s="14">
        <f>IF(SUM($C$41:AH41)-SUM($C$60:AH60)&gt;0,SUM($C$41:AH41)-SUM($C$60:AH60),0)</f>
        <v>0</v>
      </c>
      <c r="AI98" s="14">
        <f>IF(SUM($C$41:AI41)-SUM($C$60:AI60)&gt;0,SUM($C$41:AI41)-SUM($C$60:AI60),0)</f>
        <v>0</v>
      </c>
      <c r="AJ98" s="14">
        <f>IF(SUM($C$41:AJ41)-SUM($C$60:AJ60)&gt;0,SUM($C$41:AJ41)-SUM($C$60:AJ60),0)</f>
        <v>0</v>
      </c>
      <c r="AK98" s="14">
        <f>IF(SUM($C$41:AK41)-SUM($C$60:AK60)&gt;0,SUM($C$41:AK41)-SUM($C$60:AK60),0)</f>
        <v>0</v>
      </c>
      <c r="AL98" s="14">
        <f>IF(SUM($C$41:AL41)-SUM($C$60:AL60)&gt;0,SUM($C$41:AL41)-SUM($C$60:AL60),0)</f>
        <v>0</v>
      </c>
      <c r="AM98" s="14">
        <f>IF(SUM($C$41:AM41)-SUM($C$60:AM60)&gt;0,SUM($C$41:AM41)-SUM($C$60:AM60),0)</f>
        <v>0</v>
      </c>
      <c r="AN98" s="14">
        <f>IF(SUM($C$41:AN41)-SUM($C$60:AN60)&gt;0,SUM($C$41:AN41)-SUM($C$60:AN60),0)</f>
        <v>0</v>
      </c>
      <c r="AO98" s="14">
        <f>IF(SUM($C$41:AO41)-SUM($C$60:AO60)&gt;0,SUM($C$41:AO41)-SUM($C$60:AO60),0)</f>
        <v>0</v>
      </c>
      <c r="AP98" s="14">
        <f>IF(SUM($C$41:AP41)-SUM($C$60:AP60)&gt;0,SUM($C$41:AP41)-SUM($C$60:AP60),0)</f>
        <v>0</v>
      </c>
      <c r="AQ98" s="14">
        <f>IF(SUM($C$41:AQ41)-SUM($C$60:AQ60)&gt;0,SUM($C$41:AQ41)-SUM($C$60:AQ60),0)</f>
        <v>0</v>
      </c>
      <c r="AR98" s="14">
        <f>IF(SUM($C$41:AR41)-SUM($C$60:AR60)&gt;0,SUM($C$41:AR41)-SUM($C$60:AR60),0)</f>
        <v>0</v>
      </c>
      <c r="AS98" s="14">
        <f>IF(SUM($C$41:AS41)-SUM($C$60:AS60)&gt;0,SUM($C$41:AS41)-SUM($C$60:AS60),0)</f>
        <v>0</v>
      </c>
      <c r="AT98" s="14">
        <f>IF(SUM($C$41:AT41)-SUM($C$60:AT60)&gt;0,SUM($C$41:AT41)-SUM($C$60:AT60),0)</f>
        <v>0</v>
      </c>
      <c r="AU98" s="14">
        <f>IF(SUM($C$41:AU41)-SUM($C$60:AU60)&gt;0,SUM($C$41:AU41)-SUM($C$60:AU60),0)</f>
        <v>0</v>
      </c>
      <c r="AV98" s="14">
        <f>IF(SUM($C$41:AV41)-SUM($C$60:AV60)&gt;0,SUM($C$41:AV41)-SUM($C$60:AV60),0)</f>
        <v>0</v>
      </c>
      <c r="AW98" s="14">
        <f>IF(SUM($C$41:AW41)-SUM($C$60:AW60)&gt;0,SUM($C$41:AW41)-SUM($C$60:AW60),0)</f>
        <v>0</v>
      </c>
      <c r="AX98" s="14">
        <f>IF(SUM($C$41:AX41)-SUM($C$60:AX60)&gt;0,SUM($C$41:AX41)-SUM($C$60:AX60),0)</f>
        <v>0</v>
      </c>
      <c r="AY98" s="14">
        <f>IF(SUM($C$41:AY41)-SUM($C$60:AY60)&gt;0,SUM($C$41:AY41)-SUM($C$60:AY60),0)</f>
        <v>0</v>
      </c>
      <c r="AZ98" s="14">
        <f>IF(SUM($C$41:AZ41)-SUM($C$60:AZ60)&gt;0,SUM($C$41:AZ41)-SUM($C$60:AZ60),0)</f>
        <v>0</v>
      </c>
      <c r="BA98" s="14">
        <f>IF(SUM($C$41:BA41)-SUM($C$60:BA60)&gt;0,SUM($C$41:BA41)-SUM($C$60:BA60),0)</f>
        <v>0</v>
      </c>
      <c r="BB98" s="14">
        <f>IF(SUM($C$41:BB41)-SUM($C$60:BB60)&gt;0,SUM($C$41:BB41)-SUM($C$60:BB60),0)</f>
        <v>0</v>
      </c>
      <c r="BC98" s="14">
        <f>IF(SUM($C$41:BC41)-SUM($C$60:BC60)&gt;0,SUM($C$41:BC41)-SUM($C$60:BC60),0)</f>
        <v>0</v>
      </c>
      <c r="BD98" s="14">
        <f>IF(SUM($C$41:BD41)-SUM($C$60:BD60)&gt;0,SUM($C$41:BD41)-SUM($C$60:BD60),0)</f>
        <v>0</v>
      </c>
      <c r="BE98" s="14">
        <f>IF(SUM($C$41:BE41)-SUM($C$60:BE60)&gt;0,SUM($C$41:BE41)-SUM($C$60:BE60),0)</f>
        <v>0</v>
      </c>
      <c r="BF98" s="14">
        <f>IF(SUM($C$41:BF41)-SUM($C$60:BF60)&gt;0,SUM($C$41:BF41)-SUM($C$60:BF60),0)</f>
        <v>0</v>
      </c>
      <c r="BG98" s="14">
        <f>IF(SUM($C$41:BG41)-SUM($C$60:BG60)&gt;0,SUM($C$41:BG41)-SUM($C$60:BG60),0)</f>
        <v>0</v>
      </c>
      <c r="BH98" s="14">
        <f>IF(SUM($C$41:BH41)-SUM($C$60:BH60)&gt;0,SUM($C$41:BH41)-SUM($C$60:BH60),0)</f>
        <v>0</v>
      </c>
      <c r="BI98" s="14">
        <f>IF(SUM($C$41:BI41)-SUM($C$60:BI60)&gt;0,SUM($C$41:BI41)-SUM($C$60:BI60),0)</f>
        <v>0</v>
      </c>
      <c r="BJ98" s="14">
        <f>IF(SUM($C$41:BJ41)-SUM($C$60:BJ60)&gt;0,SUM($C$41:BJ41)-SUM($C$60:BJ60),0)</f>
        <v>0</v>
      </c>
      <c r="BK98" s="14">
        <f>IF(SUM($C$41:BK41)-SUM($C$60:BK60)&gt;0,SUM($C$41:BK41)-SUM($C$60:BK60),0)</f>
        <v>0</v>
      </c>
      <c r="BL98" s="93">
        <f>IF(SUM($C$41:BL41)-SUM($C$60:BL60)&gt;0,SUM($C$41:BL41)-SUM($C$60:BL60),0)</f>
        <v>0</v>
      </c>
      <c r="BM98" s="93" t="e">
        <f>IF(SUM($C$41:BM41)-SUM($C$60:BM60)&gt;0,SUM($C$41:BM41)-SUM($C$60:BM60),0)</f>
        <v>#DIV/0!</v>
      </c>
      <c r="BN98" s="93" t="e">
        <f>IF(SUM($C$41:BN41)-SUM($C$60:BN60)&gt;0,SUM($C$41:BN41)-SUM($C$60:BN60),0)</f>
        <v>#DIV/0!</v>
      </c>
      <c r="BO98" s="93" t="e">
        <f>IF(SUM($C$41:BO41)-SUM($C$60:BO60)&gt;0,SUM($C$41:BO41)-SUM($C$60:BO60),0)</f>
        <v>#DIV/0!</v>
      </c>
      <c r="BP98" s="93" t="e">
        <f>IF(SUM($C$41:BP41)-SUM($C$60:BP60)&gt;0,SUM($C$41:BP41)-SUM($C$60:BP60),0)</f>
        <v>#DIV/0!</v>
      </c>
      <c r="BQ98" s="93" t="e">
        <f>IF(SUM($C$41:BQ41)-SUM($C$60:BQ60)&gt;0,SUM($C$41:BQ41)-SUM($C$60:BQ60),0)</f>
        <v>#DIV/0!</v>
      </c>
      <c r="BR98" s="93" t="e">
        <f>IF(SUM($C$41:BR41)-SUM($C$60:BR60)&gt;0,SUM($C$41:BR41)-SUM($C$60:BR60),0)</f>
        <v>#DIV/0!</v>
      </c>
      <c r="BS98" s="93" t="e">
        <f>IF(SUM($C$41:BS41)-SUM($C$60:BS60)&gt;0,SUM($C$41:BS41)-SUM($C$60:BS60),0)</f>
        <v>#DIV/0!</v>
      </c>
      <c r="BT98" s="93" t="e">
        <f>IF(SUM($C$41:BT41)-SUM($C$60:BT60)&gt;0,SUM($C$41:BT41)-SUM($C$60:BT60),0)</f>
        <v>#DIV/0!</v>
      </c>
      <c r="BU98" s="93" t="e">
        <f>IF(SUM($C$41:BU41)-SUM($C$60:BU60)&gt;0,SUM($C$41:BU41)-SUM($C$60:BU60),0)</f>
        <v>#DIV/0!</v>
      </c>
      <c r="BV98" s="93" t="e">
        <f>IF(SUM($C$41:BV41)-SUM($C$60:BV60)&gt;0,SUM($C$41:BV41)-SUM($C$60:BV60),0)</f>
        <v>#DIV/0!</v>
      </c>
      <c r="BW98" s="93" t="e">
        <f>IF(SUM($C$41:BW41)-SUM($C$60:BW60)&gt;0,SUM($C$41:BW41)-SUM($C$60:BW60),0)</f>
        <v>#DIV/0!</v>
      </c>
    </row>
    <row r="99" spans="1:75" hidden="1" x14ac:dyDescent="0.3">
      <c r="A99" s="104" t="str">
        <f t="shared" si="30"/>
        <v xml:space="preserve">Saldos del crédito </v>
      </c>
      <c r="B99" s="105"/>
      <c r="C99" s="14">
        <f>IF(SUM($C$42:C42)-SUM($C$61:C61)&gt;0,SUM($C$42:C42)-SUM($C$61:C61),0)</f>
        <v>0</v>
      </c>
      <c r="D99" s="14">
        <f>IF(SUM($C$42:D42)-SUM($C$61:D61)&gt;0,SUM($C$42:D42)-SUM($C$61:D61),0)</f>
        <v>0</v>
      </c>
      <c r="E99" s="14">
        <f>IF(SUM($C$42:E42)-SUM($C$61:E61)&gt;0,SUM($C$42:E42)-SUM($C$61:E61),0)</f>
        <v>0</v>
      </c>
      <c r="F99" s="14">
        <f>IF(SUM($C$42:F42)-SUM($C$61:F61)&gt;0,SUM($C$42:F42)-SUM($C$61:F61),0)</f>
        <v>0</v>
      </c>
      <c r="G99" s="14">
        <f>IF(SUM($C$42:G42)-SUM($C$61:G61)&gt;0,SUM($C$42:G42)-SUM($C$61:G61),0)</f>
        <v>0</v>
      </c>
      <c r="H99" s="14">
        <f>IF(SUM($C$42:H42)-SUM($C$61:H61)&gt;0,SUM($C$42:H42)-SUM($C$61:H61),0)</f>
        <v>0</v>
      </c>
      <c r="I99" s="14">
        <f>IF(SUM($C$42:I42)-SUM($C$61:I61)&gt;0,SUM($C$42:I42)-SUM($C$61:I61),0)</f>
        <v>0</v>
      </c>
      <c r="J99" s="14">
        <f>IF(SUM($C$42:J42)-SUM($C$61:J61)&gt;0,SUM($C$42:J42)-SUM($C$61:J61),0)</f>
        <v>0</v>
      </c>
      <c r="K99" s="14">
        <f>IF(SUM($C$42:K42)-SUM($C$61:K61)&gt;0,SUM($C$42:K42)-SUM($C$61:K61),0)</f>
        <v>0</v>
      </c>
      <c r="L99" s="14">
        <f>IF(SUM($C$42:L42)-SUM($C$61:L61)&gt;0,SUM($C$42:L42)-SUM($C$61:L61),0)</f>
        <v>0</v>
      </c>
      <c r="M99" s="14">
        <f>IF(SUM($C$42:M42)-SUM($C$61:M61)&gt;0,SUM($C$42:M42)-SUM($C$61:M61),0)</f>
        <v>0</v>
      </c>
      <c r="N99" s="14">
        <f>IF(SUM($C$42:N42)-SUM($C$61:N61)&gt;0,SUM($C$42:N42)-SUM($C$61:N61),0)</f>
        <v>0</v>
      </c>
      <c r="O99" s="14">
        <f>IF(SUM($C$42:O42)-SUM($C$61:O61)&gt;0,SUM($C$42:O42)-SUM($C$61:O61),0)</f>
        <v>0</v>
      </c>
      <c r="P99" s="14">
        <f>IF(SUM($C$42:P42)-SUM($C$61:P61)&gt;0,SUM($C$42:P42)-SUM($C$61:P61),0)</f>
        <v>0</v>
      </c>
      <c r="Q99" s="14">
        <f>IF(SUM($C$42:Q42)-SUM($C$61:Q61)&gt;0,SUM($C$42:Q42)-SUM($C$61:Q61),0)</f>
        <v>0</v>
      </c>
      <c r="R99" s="14">
        <f>IF(SUM($C$42:R42)-SUM($C$61:R61)&gt;0,SUM($C$42:R42)-SUM($C$61:R61),0)</f>
        <v>0</v>
      </c>
      <c r="S99" s="14">
        <f>IF(SUM($C$42:S42)-SUM($C$61:S61)&gt;0,SUM($C$42:S42)-SUM($C$61:S61),0)</f>
        <v>0</v>
      </c>
      <c r="T99" s="14">
        <f>IF(SUM($C$42:T42)-SUM($C$61:T61)&gt;0,SUM($C$42:T42)-SUM($C$61:T61),0)</f>
        <v>0</v>
      </c>
      <c r="U99" s="14">
        <f>IF(SUM($C$42:U42)-SUM($C$61:U61)&gt;0,SUM($C$42:U42)-SUM($C$61:U61),0)</f>
        <v>0</v>
      </c>
      <c r="V99" s="14">
        <f>IF(SUM($C$42:V42)-SUM($C$61:V61)&gt;0,SUM($C$42:V42)-SUM($C$61:V61),0)</f>
        <v>0</v>
      </c>
      <c r="W99" s="14">
        <f>IF(SUM($C$42:W42)-SUM($C$61:W61)&gt;0,SUM($C$42:W42)-SUM($C$61:W61),0)</f>
        <v>0</v>
      </c>
      <c r="X99" s="14">
        <f>IF(SUM($C$42:X42)-SUM($C$61:X61)&gt;0,SUM($C$42:X42)-SUM($C$61:X61),0)</f>
        <v>0</v>
      </c>
      <c r="Y99" s="14">
        <f>IF(SUM($C$42:Y42)-SUM($C$61:Y61)&gt;0,SUM($C$42:Y42)-SUM($C$61:Y61),0)</f>
        <v>0</v>
      </c>
      <c r="Z99" s="14">
        <f>IF(SUM($C$42:Z42)-SUM($C$61:Z61)&gt;0,SUM($C$42:Z42)-SUM($C$61:Z61),0)</f>
        <v>0</v>
      </c>
      <c r="AA99" s="14">
        <f>IF(SUM($C$42:AA42)-SUM($C$61:AA61)&gt;0,SUM($C$42:AA42)-SUM($C$61:AA61),0)</f>
        <v>0</v>
      </c>
      <c r="AB99" s="14">
        <f>IF(SUM($C$42:AB42)-SUM($C$61:AB61)&gt;0,SUM($C$42:AB42)-SUM($C$61:AB61),0)</f>
        <v>0</v>
      </c>
      <c r="AC99" s="14">
        <f>IF(SUM($C$42:AC42)-SUM($C$61:AC61)&gt;0,SUM($C$42:AC42)-SUM($C$61:AC61),0)</f>
        <v>0</v>
      </c>
      <c r="AD99" s="14">
        <f>IF(SUM($C$42:AD42)-SUM($C$61:AD61)&gt;0,SUM($C$42:AD42)-SUM($C$61:AD61),0)</f>
        <v>0</v>
      </c>
      <c r="AE99" s="14">
        <f>IF(SUM($C$42:AE42)-SUM($C$61:AE61)&gt;0,SUM($C$42:AE42)-SUM($C$61:AE61),0)</f>
        <v>0</v>
      </c>
      <c r="AF99" s="14">
        <f>IF(SUM($C$42:AF42)-SUM($C$61:AF61)&gt;0,SUM($C$42:AF42)-SUM($C$61:AF61),0)</f>
        <v>0</v>
      </c>
      <c r="AG99" s="14">
        <f>IF(SUM($C$42:AG42)-SUM($C$61:AG61)&gt;0,SUM($C$42:AG42)-SUM($C$61:AG61),0)</f>
        <v>0</v>
      </c>
      <c r="AH99" s="14">
        <f>IF(SUM($C$42:AH42)-SUM($C$61:AH61)&gt;0,SUM($C$42:AH42)-SUM($C$61:AH61),0)</f>
        <v>0</v>
      </c>
      <c r="AI99" s="14">
        <f>IF(SUM($C$42:AI42)-SUM($C$61:AI61)&gt;0,SUM($C$42:AI42)-SUM($C$61:AI61),0)</f>
        <v>0</v>
      </c>
      <c r="AJ99" s="14">
        <f>IF(SUM($C$42:AJ42)-SUM($C$61:AJ61)&gt;0,SUM($C$42:AJ42)-SUM($C$61:AJ61),0)</f>
        <v>0</v>
      </c>
      <c r="AK99" s="14">
        <f>IF(SUM($C$42:AK42)-SUM($C$61:AK61)&gt;0,SUM($C$42:AK42)-SUM($C$61:AK61),0)</f>
        <v>0</v>
      </c>
      <c r="AL99" s="14">
        <f>IF(SUM($C$42:AL42)-SUM($C$61:AL61)&gt;0,SUM($C$42:AL42)-SUM($C$61:AL61),0)</f>
        <v>0</v>
      </c>
      <c r="AM99" s="14">
        <f>IF(SUM($C$42:AM42)-SUM($C$61:AM61)&gt;0,SUM($C$42:AM42)-SUM($C$61:AM61),0)</f>
        <v>0</v>
      </c>
      <c r="AN99" s="14">
        <f>IF(SUM($C$42:AN42)-SUM($C$61:AN61)&gt;0,SUM($C$42:AN42)-SUM($C$61:AN61),0)</f>
        <v>0</v>
      </c>
      <c r="AO99" s="14">
        <f>IF(SUM($C$42:AO42)-SUM($C$61:AO61)&gt;0,SUM($C$42:AO42)-SUM($C$61:AO61),0)</f>
        <v>0</v>
      </c>
      <c r="AP99" s="14">
        <f>IF(SUM($C$42:AP42)-SUM($C$61:AP61)&gt;0,SUM($C$42:AP42)-SUM($C$61:AP61),0)</f>
        <v>0</v>
      </c>
      <c r="AQ99" s="14">
        <f>IF(SUM($C$42:AQ42)-SUM($C$61:AQ61)&gt;0,SUM($C$42:AQ42)-SUM($C$61:AQ61),0)</f>
        <v>0</v>
      </c>
      <c r="AR99" s="14">
        <f>IF(SUM($C$42:AR42)-SUM($C$61:AR61)&gt;0,SUM($C$42:AR42)-SUM($C$61:AR61),0)</f>
        <v>0</v>
      </c>
      <c r="AS99" s="14">
        <f>IF(SUM($C$42:AS42)-SUM($C$61:AS61)&gt;0,SUM($C$42:AS42)-SUM($C$61:AS61),0)</f>
        <v>0</v>
      </c>
      <c r="AT99" s="14">
        <f>IF(SUM($C$42:AT42)-SUM($C$61:AT61)&gt;0,SUM($C$42:AT42)-SUM($C$61:AT61),0)</f>
        <v>0</v>
      </c>
      <c r="AU99" s="14">
        <f>IF(SUM($C$42:AU42)-SUM($C$61:AU61)&gt;0,SUM($C$42:AU42)-SUM($C$61:AU61),0)</f>
        <v>0</v>
      </c>
      <c r="AV99" s="14">
        <f>IF(SUM($C$42:AV42)-SUM($C$61:AV61)&gt;0,SUM($C$42:AV42)-SUM($C$61:AV61),0)</f>
        <v>0</v>
      </c>
      <c r="AW99" s="14">
        <f>IF(SUM($C$42:AW42)-SUM($C$61:AW61)&gt;0,SUM($C$42:AW42)-SUM($C$61:AW61),0)</f>
        <v>0</v>
      </c>
      <c r="AX99" s="14">
        <f>IF(SUM($C$42:AX42)-SUM($C$61:AX61)&gt;0,SUM($C$42:AX42)-SUM($C$61:AX61),0)</f>
        <v>0</v>
      </c>
      <c r="AY99" s="14">
        <f>IF(SUM($C$42:AY42)-SUM($C$61:AY61)&gt;0,SUM($C$42:AY42)-SUM($C$61:AY61),0)</f>
        <v>0</v>
      </c>
      <c r="AZ99" s="14">
        <f>IF(SUM($C$42:AZ42)-SUM($C$61:AZ61)&gt;0,SUM($C$42:AZ42)-SUM($C$61:AZ61),0)</f>
        <v>0</v>
      </c>
      <c r="BA99" s="14">
        <f>IF(SUM($C$42:BA42)-SUM($C$61:BA61)&gt;0,SUM($C$42:BA42)-SUM($C$61:BA61),0)</f>
        <v>0</v>
      </c>
      <c r="BB99" s="14">
        <f>IF(SUM($C$42:BB42)-SUM($C$61:BB61)&gt;0,SUM($C$42:BB42)-SUM($C$61:BB61),0)</f>
        <v>0</v>
      </c>
      <c r="BC99" s="14">
        <f>IF(SUM($C$42:BC42)-SUM($C$61:BC61)&gt;0,SUM($C$42:BC42)-SUM($C$61:BC61),0)</f>
        <v>0</v>
      </c>
      <c r="BD99" s="14">
        <f>IF(SUM($C$42:BD42)-SUM($C$61:BD61)&gt;0,SUM($C$42:BD42)-SUM($C$61:BD61),0)</f>
        <v>0</v>
      </c>
      <c r="BE99" s="14">
        <f>IF(SUM($C$42:BE42)-SUM($C$61:BE61)&gt;0,SUM($C$42:BE42)-SUM($C$61:BE61),0)</f>
        <v>0</v>
      </c>
      <c r="BF99" s="14">
        <f>IF(SUM($C$42:BF42)-SUM($C$61:BF61)&gt;0,SUM($C$42:BF42)-SUM($C$61:BF61),0)</f>
        <v>0</v>
      </c>
      <c r="BG99" s="14">
        <f>IF(SUM($C$42:BG42)-SUM($C$61:BG61)&gt;0,SUM($C$42:BG42)-SUM($C$61:BG61),0)</f>
        <v>0</v>
      </c>
      <c r="BH99" s="14">
        <f>IF(SUM($C$42:BH42)-SUM($C$61:BH61)&gt;0,SUM($C$42:BH42)-SUM($C$61:BH61),0)</f>
        <v>0</v>
      </c>
      <c r="BI99" s="14">
        <f>IF(SUM($C$42:BI42)-SUM($C$61:BI61)&gt;0,SUM($C$42:BI42)-SUM($C$61:BI61),0)</f>
        <v>0</v>
      </c>
      <c r="BJ99" s="14">
        <f>IF(SUM($C$42:BJ42)-SUM($C$61:BJ61)&gt;0,SUM($C$42:BJ42)-SUM($C$61:BJ61),0)</f>
        <v>0</v>
      </c>
      <c r="BK99" s="14">
        <f>IF(SUM($C$42:BK42)-SUM($C$61:BK61)&gt;0,SUM($C$42:BK42)-SUM($C$61:BK61),0)</f>
        <v>0</v>
      </c>
      <c r="BL99" s="93">
        <f>IF(SUM($C$42:BL42)-SUM($C$61:BL61)&gt;0,SUM($C$42:BL42)-SUM($C$61:BL61),0)</f>
        <v>0</v>
      </c>
      <c r="BM99" s="93" t="e">
        <f>IF(SUM($C$42:BM42)-SUM($C$61:BM61)&gt;0,SUM($C$42:BM42)-SUM($C$61:BM61),0)</f>
        <v>#DIV/0!</v>
      </c>
      <c r="BN99" s="93" t="e">
        <f>IF(SUM($C$42:BN42)-SUM($C$61:BN61)&gt;0,SUM($C$42:BN42)-SUM($C$61:BN61),0)</f>
        <v>#DIV/0!</v>
      </c>
      <c r="BO99" s="93" t="e">
        <f>IF(SUM($C$42:BO42)-SUM($C$61:BO61)&gt;0,SUM($C$42:BO42)-SUM($C$61:BO61),0)</f>
        <v>#DIV/0!</v>
      </c>
      <c r="BP99" s="93" t="e">
        <f>IF(SUM($C$42:BP42)-SUM($C$61:BP61)&gt;0,SUM($C$42:BP42)-SUM($C$61:BP61),0)</f>
        <v>#DIV/0!</v>
      </c>
      <c r="BQ99" s="93" t="e">
        <f>IF(SUM($C$42:BQ42)-SUM($C$61:BQ61)&gt;0,SUM($C$42:BQ42)-SUM($C$61:BQ61),0)</f>
        <v>#DIV/0!</v>
      </c>
      <c r="BR99" s="93" t="e">
        <f>IF(SUM($C$42:BR42)-SUM($C$61:BR61)&gt;0,SUM($C$42:BR42)-SUM($C$61:BR61),0)</f>
        <v>#DIV/0!</v>
      </c>
      <c r="BS99" s="93" t="e">
        <f>IF(SUM($C$42:BS42)-SUM($C$61:BS61)&gt;0,SUM($C$42:BS42)-SUM($C$61:BS61),0)</f>
        <v>#DIV/0!</v>
      </c>
      <c r="BT99" s="93" t="e">
        <f>IF(SUM($C$42:BT42)-SUM($C$61:BT61)&gt;0,SUM($C$42:BT42)-SUM($C$61:BT61),0)</f>
        <v>#DIV/0!</v>
      </c>
      <c r="BU99" s="93" t="e">
        <f>IF(SUM($C$42:BU42)-SUM($C$61:BU61)&gt;0,SUM($C$42:BU42)-SUM($C$61:BU61),0)</f>
        <v>#DIV/0!</v>
      </c>
      <c r="BV99" s="93" t="e">
        <f>IF(SUM($C$42:BV42)-SUM($C$61:BV61)&gt;0,SUM($C$42:BV42)-SUM($C$61:BV61),0)</f>
        <v>#DIV/0!</v>
      </c>
      <c r="BW99" s="93" t="e">
        <f>IF(SUM($C$42:BW42)-SUM($C$61:BW61)&gt;0,SUM($C$42:BW42)-SUM($C$61:BW61),0)</f>
        <v>#DIV/0!</v>
      </c>
    </row>
    <row r="100" spans="1:75" hidden="1" x14ac:dyDescent="0.3">
      <c r="A100" s="104" t="str">
        <f t="shared" si="30"/>
        <v xml:space="preserve">Saldos del crédito </v>
      </c>
      <c r="B100" s="105"/>
      <c r="C100" s="14">
        <f>IF(SUM($C$43:C43)-SUM($C$62:C62)&gt;0,SUM($C$43:C43)-SUM($C$62:C62),0)</f>
        <v>0</v>
      </c>
      <c r="D100" s="14">
        <f>IF(SUM($C$43:D43)-SUM($C$62:D62)&gt;0,SUM($C$43:D43)-SUM($C$62:D62),0)</f>
        <v>0</v>
      </c>
      <c r="E100" s="14">
        <f>IF(SUM($C$43:E43)-SUM($C$62:E62)&gt;0,SUM($C$43:E43)-SUM($C$62:E62),0)</f>
        <v>0</v>
      </c>
      <c r="F100" s="14">
        <f>IF(SUM($C$43:F43)-SUM($C$62:F62)&gt;0,SUM($C$43:F43)-SUM($C$62:F62),0)</f>
        <v>0</v>
      </c>
      <c r="G100" s="14">
        <f>IF(SUM($C$43:G43)-SUM($C$62:G62)&gt;0,SUM($C$43:G43)-SUM($C$62:G62),0)</f>
        <v>0</v>
      </c>
      <c r="H100" s="14">
        <f>IF(SUM($C$43:H43)-SUM($C$62:H62)&gt;0,SUM($C$43:H43)-SUM($C$62:H62),0)</f>
        <v>0</v>
      </c>
      <c r="I100" s="14">
        <f>IF(SUM($C$43:I43)-SUM($C$62:I62)&gt;0,SUM($C$43:I43)-SUM($C$62:I62),0)</f>
        <v>0</v>
      </c>
      <c r="J100" s="14">
        <f>IF(SUM($C$43:J43)-SUM($C$62:J62)&gt;0,SUM($C$43:J43)-SUM($C$62:J62),0)</f>
        <v>0</v>
      </c>
      <c r="K100" s="14">
        <f>IF(SUM($C$43:K43)-SUM($C$62:K62)&gt;0,SUM($C$43:K43)-SUM($C$62:K62),0)</f>
        <v>0</v>
      </c>
      <c r="L100" s="14">
        <f>IF(SUM($C$43:L43)-SUM($C$62:L62)&gt;0,SUM($C$43:L43)-SUM($C$62:L62),0)</f>
        <v>0</v>
      </c>
      <c r="M100" s="14">
        <f>IF(SUM($C$43:M43)-SUM($C$62:M62)&gt;0,SUM($C$43:M43)-SUM($C$62:M62),0)</f>
        <v>0</v>
      </c>
      <c r="N100" s="14">
        <f>IF(SUM($C$43:N43)-SUM($C$62:N62)&gt;0,SUM($C$43:N43)-SUM($C$62:N62),0)</f>
        <v>0</v>
      </c>
      <c r="O100" s="14">
        <f>IF(SUM($C$43:O43)-SUM($C$62:O62)&gt;0,SUM($C$43:O43)-SUM($C$62:O62),0)</f>
        <v>0</v>
      </c>
      <c r="P100" s="14">
        <f>IF(SUM($C$43:P43)-SUM($C$62:P62)&gt;0,SUM($C$43:P43)-SUM($C$62:P62),0)</f>
        <v>0</v>
      </c>
      <c r="Q100" s="14">
        <f>IF(SUM($C$43:Q43)-SUM($C$62:Q62)&gt;0,SUM($C$43:Q43)-SUM($C$62:Q62),0)</f>
        <v>0</v>
      </c>
      <c r="R100" s="14">
        <f>IF(SUM($C$43:R43)-SUM($C$62:R62)&gt;0,SUM($C$43:R43)-SUM($C$62:R62),0)</f>
        <v>0</v>
      </c>
      <c r="S100" s="14">
        <f>IF(SUM($C$43:S43)-SUM($C$62:S62)&gt;0,SUM($C$43:S43)-SUM($C$62:S62),0)</f>
        <v>0</v>
      </c>
      <c r="T100" s="14">
        <f>IF(SUM($C$43:T43)-SUM($C$62:T62)&gt;0,SUM($C$43:T43)-SUM($C$62:T62),0)</f>
        <v>0</v>
      </c>
      <c r="U100" s="14">
        <f>IF(SUM($C$43:U43)-SUM($C$62:U62)&gt;0,SUM($C$43:U43)-SUM($C$62:U62),0)</f>
        <v>0</v>
      </c>
      <c r="V100" s="14">
        <f>IF(SUM($C$43:V43)-SUM($C$62:V62)&gt;0,SUM($C$43:V43)-SUM($C$62:V62),0)</f>
        <v>0</v>
      </c>
      <c r="W100" s="14">
        <f>IF(SUM($C$43:W43)-SUM($C$62:W62)&gt;0,SUM($C$43:W43)-SUM($C$62:W62),0)</f>
        <v>0</v>
      </c>
      <c r="X100" s="14">
        <f>IF(SUM($C$43:X43)-SUM($C$62:X62)&gt;0,SUM($C$43:X43)-SUM($C$62:X62),0)</f>
        <v>0</v>
      </c>
      <c r="Y100" s="14">
        <f>IF(SUM($C$43:Y43)-SUM($C$62:Y62)&gt;0,SUM($C$43:Y43)-SUM($C$62:Y62),0)</f>
        <v>0</v>
      </c>
      <c r="Z100" s="14">
        <f>IF(SUM($C$43:Z43)-SUM($C$62:Z62)&gt;0,SUM($C$43:Z43)-SUM($C$62:Z62),0)</f>
        <v>0</v>
      </c>
      <c r="AA100" s="14">
        <f>IF(SUM($C$43:AA43)-SUM($C$62:AA62)&gt;0,SUM($C$43:AA43)-SUM($C$62:AA62),0)</f>
        <v>0</v>
      </c>
      <c r="AB100" s="14">
        <f>IF(SUM($C$43:AB43)-SUM($C$62:AB62)&gt;0,SUM($C$43:AB43)-SUM($C$62:AB62),0)</f>
        <v>0</v>
      </c>
      <c r="AC100" s="14">
        <f>IF(SUM($C$43:AC43)-SUM($C$62:AC62)&gt;0,SUM($C$43:AC43)-SUM($C$62:AC62),0)</f>
        <v>0</v>
      </c>
      <c r="AD100" s="14">
        <f>IF(SUM($C$43:AD43)-SUM($C$62:AD62)&gt;0,SUM($C$43:AD43)-SUM($C$62:AD62),0)</f>
        <v>0</v>
      </c>
      <c r="AE100" s="14">
        <f>IF(SUM($C$43:AE43)-SUM($C$62:AE62)&gt;0,SUM($C$43:AE43)-SUM($C$62:AE62),0)</f>
        <v>0</v>
      </c>
      <c r="AF100" s="14">
        <f>IF(SUM($C$43:AF43)-SUM($C$62:AF62)&gt;0,SUM($C$43:AF43)-SUM($C$62:AF62),0)</f>
        <v>0</v>
      </c>
      <c r="AG100" s="14">
        <f>IF(SUM($C$43:AG43)-SUM($C$62:AG62)&gt;0,SUM($C$43:AG43)-SUM($C$62:AG62),0)</f>
        <v>0</v>
      </c>
      <c r="AH100" s="14">
        <f>IF(SUM($C$43:AH43)-SUM($C$62:AH62)&gt;0,SUM($C$43:AH43)-SUM($C$62:AH62),0)</f>
        <v>0</v>
      </c>
      <c r="AI100" s="14">
        <f>IF(SUM($C$43:AI43)-SUM($C$62:AI62)&gt;0,SUM($C$43:AI43)-SUM($C$62:AI62),0)</f>
        <v>0</v>
      </c>
      <c r="AJ100" s="14">
        <f>IF(SUM($C$43:AJ43)-SUM($C$62:AJ62)&gt;0,SUM($C$43:AJ43)-SUM($C$62:AJ62),0)</f>
        <v>0</v>
      </c>
      <c r="AK100" s="14">
        <f>IF(SUM($C$43:AK43)-SUM($C$62:AK62)&gt;0,SUM($C$43:AK43)-SUM($C$62:AK62),0)</f>
        <v>0</v>
      </c>
      <c r="AL100" s="14">
        <f>IF(SUM($C$43:AL43)-SUM($C$62:AL62)&gt;0,SUM($C$43:AL43)-SUM($C$62:AL62),0)</f>
        <v>0</v>
      </c>
      <c r="AM100" s="14">
        <f>IF(SUM($C$43:AM43)-SUM($C$62:AM62)&gt;0,SUM($C$43:AM43)-SUM($C$62:AM62),0)</f>
        <v>0</v>
      </c>
      <c r="AN100" s="14">
        <f>IF(SUM($C$43:AN43)-SUM($C$62:AN62)&gt;0,SUM($C$43:AN43)-SUM($C$62:AN62),0)</f>
        <v>0</v>
      </c>
      <c r="AO100" s="14">
        <f>IF(SUM($C$43:AO43)-SUM($C$62:AO62)&gt;0,SUM($C$43:AO43)-SUM($C$62:AO62),0)</f>
        <v>0</v>
      </c>
      <c r="AP100" s="14">
        <f>IF(SUM($C$43:AP43)-SUM($C$62:AP62)&gt;0,SUM($C$43:AP43)-SUM($C$62:AP62),0)</f>
        <v>0</v>
      </c>
      <c r="AQ100" s="14">
        <f>IF(SUM($C$43:AQ43)-SUM($C$62:AQ62)&gt;0,SUM($C$43:AQ43)-SUM($C$62:AQ62),0)</f>
        <v>0</v>
      </c>
      <c r="AR100" s="14">
        <f>IF(SUM($C$43:AR43)-SUM($C$62:AR62)&gt;0,SUM($C$43:AR43)-SUM($C$62:AR62),0)</f>
        <v>0</v>
      </c>
      <c r="AS100" s="14">
        <f>IF(SUM($C$43:AS43)-SUM($C$62:AS62)&gt;0,SUM($C$43:AS43)-SUM($C$62:AS62),0)</f>
        <v>0</v>
      </c>
      <c r="AT100" s="14">
        <f>IF(SUM($C$43:AT43)-SUM($C$62:AT62)&gt;0,SUM($C$43:AT43)-SUM($C$62:AT62),0)</f>
        <v>0</v>
      </c>
      <c r="AU100" s="14">
        <f>IF(SUM($C$43:AU43)-SUM($C$62:AU62)&gt;0,SUM($C$43:AU43)-SUM($C$62:AU62),0)</f>
        <v>0</v>
      </c>
      <c r="AV100" s="14">
        <f>IF(SUM($C$43:AV43)-SUM($C$62:AV62)&gt;0,SUM($C$43:AV43)-SUM($C$62:AV62),0)</f>
        <v>0</v>
      </c>
      <c r="AW100" s="14">
        <f>IF(SUM($C$43:AW43)-SUM($C$62:AW62)&gt;0,SUM($C$43:AW43)-SUM($C$62:AW62),0)</f>
        <v>0</v>
      </c>
      <c r="AX100" s="14">
        <f>IF(SUM($C$43:AX43)-SUM($C$62:AX62)&gt;0,SUM($C$43:AX43)-SUM($C$62:AX62),0)</f>
        <v>0</v>
      </c>
      <c r="AY100" s="14">
        <f>IF(SUM($C$43:AY43)-SUM($C$62:AY62)&gt;0,SUM($C$43:AY43)-SUM($C$62:AY62),0)</f>
        <v>0</v>
      </c>
      <c r="AZ100" s="14">
        <f>IF(SUM($C$43:AZ43)-SUM($C$62:AZ62)&gt;0,SUM($C$43:AZ43)-SUM($C$62:AZ62),0)</f>
        <v>0</v>
      </c>
      <c r="BA100" s="14">
        <f>IF(SUM($C$43:BA43)-SUM($C$62:BA62)&gt;0,SUM($C$43:BA43)-SUM($C$62:BA62),0)</f>
        <v>0</v>
      </c>
      <c r="BB100" s="14">
        <f>IF(SUM($C$43:BB43)-SUM($C$62:BB62)&gt;0,SUM($C$43:BB43)-SUM($C$62:BB62),0)</f>
        <v>0</v>
      </c>
      <c r="BC100" s="14">
        <f>IF(SUM($C$43:BC43)-SUM($C$62:BC62)&gt;0,SUM($C$43:BC43)-SUM($C$62:BC62),0)</f>
        <v>0</v>
      </c>
      <c r="BD100" s="14">
        <f>IF(SUM($C$43:BD43)-SUM($C$62:BD62)&gt;0,SUM($C$43:BD43)-SUM($C$62:BD62),0)</f>
        <v>0</v>
      </c>
      <c r="BE100" s="14">
        <f>IF(SUM($C$43:BE43)-SUM($C$62:BE62)&gt;0,SUM($C$43:BE43)-SUM($C$62:BE62),0)</f>
        <v>0</v>
      </c>
      <c r="BF100" s="14">
        <f>IF(SUM($C$43:BF43)-SUM($C$62:BF62)&gt;0,SUM($C$43:BF43)-SUM($C$62:BF62),0)</f>
        <v>0</v>
      </c>
      <c r="BG100" s="14">
        <f>IF(SUM($C$43:BG43)-SUM($C$62:BG62)&gt;0,SUM($C$43:BG43)-SUM($C$62:BG62),0)</f>
        <v>0</v>
      </c>
      <c r="BH100" s="14">
        <f>IF(SUM($C$43:BH43)-SUM($C$62:BH62)&gt;0,SUM($C$43:BH43)-SUM($C$62:BH62),0)</f>
        <v>0</v>
      </c>
      <c r="BI100" s="14">
        <f>IF(SUM($C$43:BI43)-SUM($C$62:BI62)&gt;0,SUM($C$43:BI43)-SUM($C$62:BI62),0)</f>
        <v>0</v>
      </c>
      <c r="BJ100" s="14">
        <f>IF(SUM($C$43:BJ43)-SUM($C$62:BJ62)&gt;0,SUM($C$43:BJ43)-SUM($C$62:BJ62),0)</f>
        <v>0</v>
      </c>
      <c r="BK100" s="14">
        <f>IF(SUM($C$43:BK43)-SUM($C$62:BK62)&gt;0,SUM($C$43:BK43)-SUM($C$62:BK62),0)</f>
        <v>0</v>
      </c>
      <c r="BL100" s="93">
        <f>IF(SUM($C$43:BL43)-SUM($C$62:BL62)&gt;0,SUM($C$43:BL43)-SUM($C$62:BL62),0)</f>
        <v>0</v>
      </c>
      <c r="BM100" s="93" t="e">
        <f>IF(SUM($C$43:BM43)-SUM($C$62:BM62)&gt;0,SUM($C$43:BM43)-SUM($C$62:BM62),0)</f>
        <v>#DIV/0!</v>
      </c>
      <c r="BN100" s="93" t="e">
        <f>IF(SUM($C$43:BN43)-SUM($C$62:BN62)&gt;0,SUM($C$43:BN43)-SUM($C$62:BN62),0)</f>
        <v>#DIV/0!</v>
      </c>
      <c r="BO100" s="93" t="e">
        <f>IF(SUM($C$43:BO43)-SUM($C$62:BO62)&gt;0,SUM($C$43:BO43)-SUM($C$62:BO62),0)</f>
        <v>#DIV/0!</v>
      </c>
      <c r="BP100" s="93" t="e">
        <f>IF(SUM($C$43:BP43)-SUM($C$62:BP62)&gt;0,SUM($C$43:BP43)-SUM($C$62:BP62),0)</f>
        <v>#DIV/0!</v>
      </c>
      <c r="BQ100" s="93" t="e">
        <f>IF(SUM($C$43:BQ43)-SUM($C$62:BQ62)&gt;0,SUM($C$43:BQ43)-SUM($C$62:BQ62),0)</f>
        <v>#DIV/0!</v>
      </c>
      <c r="BR100" s="93" t="e">
        <f>IF(SUM($C$43:BR43)-SUM($C$62:BR62)&gt;0,SUM($C$43:BR43)-SUM($C$62:BR62),0)</f>
        <v>#DIV/0!</v>
      </c>
      <c r="BS100" s="93" t="e">
        <f>IF(SUM($C$43:BS43)-SUM($C$62:BS62)&gt;0,SUM($C$43:BS43)-SUM($C$62:BS62),0)</f>
        <v>#DIV/0!</v>
      </c>
      <c r="BT100" s="93" t="e">
        <f>IF(SUM($C$43:BT43)-SUM($C$62:BT62)&gt;0,SUM($C$43:BT43)-SUM($C$62:BT62),0)</f>
        <v>#DIV/0!</v>
      </c>
      <c r="BU100" s="93" t="e">
        <f>IF(SUM($C$43:BU43)-SUM($C$62:BU62)&gt;0,SUM($C$43:BU43)-SUM($C$62:BU62),0)</f>
        <v>#DIV/0!</v>
      </c>
      <c r="BV100" s="93" t="e">
        <f>IF(SUM($C$43:BV43)-SUM($C$62:BV62)&gt;0,SUM($C$43:BV43)-SUM($C$62:BV62),0)</f>
        <v>#DIV/0!</v>
      </c>
      <c r="BW100" s="93" t="e">
        <f>IF(SUM($C$43:BW43)-SUM($C$62:BW62)&gt;0,SUM($C$43:BW43)-SUM($C$62:BW62),0)</f>
        <v>#DIV/0!</v>
      </c>
    </row>
    <row r="101" spans="1:75" hidden="1" x14ac:dyDescent="0.3">
      <c r="A101" s="104" t="str">
        <f t="shared" si="30"/>
        <v xml:space="preserve">Saldos del crédito </v>
      </c>
      <c r="B101" s="105"/>
      <c r="C101" s="14">
        <f>IF(SUM($C$44:C44)-SUM($C$63:C63)&gt;0,SUM($C$44:C44)-SUM($C$63:C63),0)</f>
        <v>0</v>
      </c>
      <c r="D101" s="14">
        <f>IF(SUM($C$44:D44)-SUM($C$63:D63)&gt;0,SUM($C$44:D44)-SUM($C$63:D63),0)</f>
        <v>0</v>
      </c>
      <c r="E101" s="14">
        <f>IF(SUM($C$44:E44)-SUM($C$63:E63)&gt;0,SUM($C$44:E44)-SUM($C$63:E63),0)</f>
        <v>0</v>
      </c>
      <c r="F101" s="14">
        <f>IF(SUM($C$44:F44)-SUM($C$63:F63)&gt;0,SUM($C$44:F44)-SUM($C$63:F63),0)</f>
        <v>0</v>
      </c>
      <c r="G101" s="14">
        <f>IF(SUM($C$44:G44)-SUM($C$63:G63)&gt;0,SUM($C$44:G44)-SUM($C$63:G63),0)</f>
        <v>0</v>
      </c>
      <c r="H101" s="14">
        <f>IF(SUM($C$44:H44)-SUM($C$63:H63)&gt;0,SUM($C$44:H44)-SUM($C$63:H63),0)</f>
        <v>0</v>
      </c>
      <c r="I101" s="14">
        <f>IF(SUM($C$44:I44)-SUM($C$63:I63)&gt;0,SUM($C$44:I44)-SUM($C$63:I63),0)</f>
        <v>0</v>
      </c>
      <c r="J101" s="14">
        <f>IF(SUM($C$44:J44)-SUM($C$63:J63)&gt;0,SUM($C$44:J44)-SUM($C$63:J63),0)</f>
        <v>0</v>
      </c>
      <c r="K101" s="14">
        <f>IF(SUM($C$44:K44)-SUM($C$63:K63)&gt;0,SUM($C$44:K44)-SUM($C$63:K63),0)</f>
        <v>0</v>
      </c>
      <c r="L101" s="14">
        <f>IF(SUM($C$44:L44)-SUM($C$63:L63)&gt;0,SUM($C$44:L44)-SUM($C$63:L63),0)</f>
        <v>0</v>
      </c>
      <c r="M101" s="14">
        <f>IF(SUM($C$44:M44)-SUM($C$63:M63)&gt;0,SUM($C$44:M44)-SUM($C$63:M63),0)</f>
        <v>0</v>
      </c>
      <c r="N101" s="14">
        <f>IF(SUM($C$44:N44)-SUM($C$63:N63)&gt;0,SUM($C$44:N44)-SUM($C$63:N63),0)</f>
        <v>0</v>
      </c>
      <c r="O101" s="14">
        <f>IF(SUM($C$44:O44)-SUM($C$63:O63)&gt;0,SUM($C$44:O44)-SUM($C$63:O63),0)</f>
        <v>0</v>
      </c>
      <c r="P101" s="14">
        <f>IF(SUM($C$44:P44)-SUM($C$63:P63)&gt;0,SUM($C$44:P44)-SUM($C$63:P63),0)</f>
        <v>0</v>
      </c>
      <c r="Q101" s="14">
        <f>IF(SUM($C$44:Q44)-SUM($C$63:Q63)&gt;0,SUM($C$44:Q44)-SUM($C$63:Q63),0)</f>
        <v>0</v>
      </c>
      <c r="R101" s="14">
        <f>IF(SUM($C$44:R44)-SUM($C$63:R63)&gt;0,SUM($C$44:R44)-SUM($C$63:R63),0)</f>
        <v>0</v>
      </c>
      <c r="S101" s="14">
        <f>IF(SUM($C$44:S44)-SUM($C$63:S63)&gt;0,SUM($C$44:S44)-SUM($C$63:S63),0)</f>
        <v>0</v>
      </c>
      <c r="T101" s="14">
        <f>IF(SUM($C$44:T44)-SUM($C$63:T63)&gt;0,SUM($C$44:T44)-SUM($C$63:T63),0)</f>
        <v>0</v>
      </c>
      <c r="U101" s="14">
        <f>IF(SUM($C$44:U44)-SUM($C$63:U63)&gt;0,SUM($C$44:U44)-SUM($C$63:U63),0)</f>
        <v>0</v>
      </c>
      <c r="V101" s="14">
        <f>IF(SUM($C$44:V44)-SUM($C$63:V63)&gt;0,SUM($C$44:V44)-SUM($C$63:V63),0)</f>
        <v>0</v>
      </c>
      <c r="W101" s="14">
        <f>IF(SUM($C$44:W44)-SUM($C$63:W63)&gt;0,SUM($C$44:W44)-SUM($C$63:W63),0)</f>
        <v>0</v>
      </c>
      <c r="X101" s="14">
        <f>IF(SUM($C$44:X44)-SUM($C$63:X63)&gt;0,SUM($C$44:X44)-SUM($C$63:X63),0)</f>
        <v>0</v>
      </c>
      <c r="Y101" s="14">
        <f>IF(SUM($C$44:Y44)-SUM($C$63:Y63)&gt;0,SUM($C$44:Y44)-SUM($C$63:Y63),0)</f>
        <v>0</v>
      </c>
      <c r="Z101" s="14">
        <f>IF(SUM($C$44:Z44)-SUM($C$63:Z63)&gt;0,SUM($C$44:Z44)-SUM($C$63:Z63),0)</f>
        <v>0</v>
      </c>
      <c r="AA101" s="14">
        <f>IF(SUM($C$44:AA44)-SUM($C$63:AA63)&gt;0,SUM($C$44:AA44)-SUM($C$63:AA63),0)</f>
        <v>0</v>
      </c>
      <c r="AB101" s="14">
        <f>IF(SUM($C$44:AB44)-SUM($C$63:AB63)&gt;0,SUM($C$44:AB44)-SUM($C$63:AB63),0)</f>
        <v>0</v>
      </c>
      <c r="AC101" s="14">
        <f>IF(SUM($C$44:AC44)-SUM($C$63:AC63)&gt;0,SUM($C$44:AC44)-SUM($C$63:AC63),0)</f>
        <v>0</v>
      </c>
      <c r="AD101" s="14">
        <f>IF(SUM($C$44:AD44)-SUM($C$63:AD63)&gt;0,SUM($C$44:AD44)-SUM($C$63:AD63),0)</f>
        <v>0</v>
      </c>
      <c r="AE101" s="14">
        <f>IF(SUM($C$44:AE44)-SUM($C$63:AE63)&gt;0,SUM($C$44:AE44)-SUM($C$63:AE63),0)</f>
        <v>0</v>
      </c>
      <c r="AF101" s="14">
        <f>IF(SUM($C$44:AF44)-SUM($C$63:AF63)&gt;0,SUM($C$44:AF44)-SUM($C$63:AF63),0)</f>
        <v>0</v>
      </c>
      <c r="AG101" s="14">
        <f>IF(SUM($C$44:AG44)-SUM($C$63:AG63)&gt;0,SUM($C$44:AG44)-SUM($C$63:AG63),0)</f>
        <v>0</v>
      </c>
      <c r="AH101" s="14">
        <f>IF(SUM($C$44:AH44)-SUM($C$63:AH63)&gt;0,SUM($C$44:AH44)-SUM($C$63:AH63),0)</f>
        <v>0</v>
      </c>
      <c r="AI101" s="14">
        <f>IF(SUM($C$44:AI44)-SUM($C$63:AI63)&gt;0,SUM($C$44:AI44)-SUM($C$63:AI63),0)</f>
        <v>0</v>
      </c>
      <c r="AJ101" s="14">
        <f>IF(SUM($C$44:AJ44)-SUM($C$63:AJ63)&gt;0,SUM($C$44:AJ44)-SUM($C$63:AJ63),0)</f>
        <v>0</v>
      </c>
      <c r="AK101" s="14">
        <f>IF(SUM($C$44:AK44)-SUM($C$63:AK63)&gt;0,SUM($C$44:AK44)-SUM($C$63:AK63),0)</f>
        <v>0</v>
      </c>
      <c r="AL101" s="14">
        <f>IF(SUM($C$44:AL44)-SUM($C$63:AL63)&gt;0,SUM($C$44:AL44)-SUM($C$63:AL63),0)</f>
        <v>0</v>
      </c>
      <c r="AM101" s="14">
        <f>IF(SUM($C$44:AM44)-SUM($C$63:AM63)&gt;0,SUM($C$44:AM44)-SUM($C$63:AM63),0)</f>
        <v>0</v>
      </c>
      <c r="AN101" s="14">
        <f>IF(SUM($C$44:AN44)-SUM($C$63:AN63)&gt;0,SUM($C$44:AN44)-SUM($C$63:AN63),0)</f>
        <v>0</v>
      </c>
      <c r="AO101" s="14">
        <f>IF(SUM($C$44:AO44)-SUM($C$63:AO63)&gt;0,SUM($C$44:AO44)-SUM($C$63:AO63),0)</f>
        <v>0</v>
      </c>
      <c r="AP101" s="14">
        <f>IF(SUM($C$44:AP44)-SUM($C$63:AP63)&gt;0,SUM($C$44:AP44)-SUM($C$63:AP63),0)</f>
        <v>0</v>
      </c>
      <c r="AQ101" s="14">
        <f>IF(SUM($C$44:AQ44)-SUM($C$63:AQ63)&gt;0,SUM($C$44:AQ44)-SUM($C$63:AQ63),0)</f>
        <v>0</v>
      </c>
      <c r="AR101" s="14">
        <f>IF(SUM($C$44:AR44)-SUM($C$63:AR63)&gt;0,SUM($C$44:AR44)-SUM($C$63:AR63),0)</f>
        <v>0</v>
      </c>
      <c r="AS101" s="14">
        <f>IF(SUM($C$44:AS44)-SUM($C$63:AS63)&gt;0,SUM($C$44:AS44)-SUM($C$63:AS63),0)</f>
        <v>0</v>
      </c>
      <c r="AT101" s="14">
        <f>IF(SUM($C$44:AT44)-SUM($C$63:AT63)&gt;0,SUM($C$44:AT44)-SUM($C$63:AT63),0)</f>
        <v>0</v>
      </c>
      <c r="AU101" s="14">
        <f>IF(SUM($C$44:AU44)-SUM($C$63:AU63)&gt;0,SUM($C$44:AU44)-SUM($C$63:AU63),0)</f>
        <v>0</v>
      </c>
      <c r="AV101" s="14">
        <f>IF(SUM($C$44:AV44)-SUM($C$63:AV63)&gt;0,SUM($C$44:AV44)-SUM($C$63:AV63),0)</f>
        <v>0</v>
      </c>
      <c r="AW101" s="14">
        <f>IF(SUM($C$44:AW44)-SUM($C$63:AW63)&gt;0,SUM($C$44:AW44)-SUM($C$63:AW63),0)</f>
        <v>0</v>
      </c>
      <c r="AX101" s="14">
        <f>IF(SUM($C$44:AX44)-SUM($C$63:AX63)&gt;0,SUM($C$44:AX44)-SUM($C$63:AX63),0)</f>
        <v>0</v>
      </c>
      <c r="AY101" s="14">
        <f>IF(SUM($C$44:AY44)-SUM($C$63:AY63)&gt;0,SUM($C$44:AY44)-SUM($C$63:AY63),0)</f>
        <v>0</v>
      </c>
      <c r="AZ101" s="14">
        <f>IF(SUM($C$44:AZ44)-SUM($C$63:AZ63)&gt;0,SUM($C$44:AZ44)-SUM($C$63:AZ63),0)</f>
        <v>0</v>
      </c>
      <c r="BA101" s="14">
        <f>IF(SUM($C$44:BA44)-SUM($C$63:BA63)&gt;0,SUM($C$44:BA44)-SUM($C$63:BA63),0)</f>
        <v>0</v>
      </c>
      <c r="BB101" s="14">
        <f>IF(SUM($C$44:BB44)-SUM($C$63:BB63)&gt;0,SUM($C$44:BB44)-SUM($C$63:BB63),0)</f>
        <v>0</v>
      </c>
      <c r="BC101" s="14">
        <f>IF(SUM($C$44:BC44)-SUM($C$63:BC63)&gt;0,SUM($C$44:BC44)-SUM($C$63:BC63),0)</f>
        <v>0</v>
      </c>
      <c r="BD101" s="14">
        <f>IF(SUM($C$44:BD44)-SUM($C$63:BD63)&gt;0,SUM($C$44:BD44)-SUM($C$63:BD63),0)</f>
        <v>0</v>
      </c>
      <c r="BE101" s="14">
        <f>IF(SUM($C$44:BE44)-SUM($C$63:BE63)&gt;0,SUM($C$44:BE44)-SUM($C$63:BE63),0)</f>
        <v>0</v>
      </c>
      <c r="BF101" s="14">
        <f>IF(SUM($C$44:BF44)-SUM($C$63:BF63)&gt;0,SUM($C$44:BF44)-SUM($C$63:BF63),0)</f>
        <v>0</v>
      </c>
      <c r="BG101" s="14">
        <f>IF(SUM($C$44:BG44)-SUM($C$63:BG63)&gt;0,SUM($C$44:BG44)-SUM($C$63:BG63),0)</f>
        <v>0</v>
      </c>
      <c r="BH101" s="14">
        <f>IF(SUM($C$44:BH44)-SUM($C$63:BH63)&gt;0,SUM($C$44:BH44)-SUM($C$63:BH63),0)</f>
        <v>0</v>
      </c>
      <c r="BI101" s="14">
        <f>IF(SUM($C$44:BI44)-SUM($C$63:BI63)&gt;0,SUM($C$44:BI44)-SUM($C$63:BI63),0)</f>
        <v>0</v>
      </c>
      <c r="BJ101" s="14">
        <f>IF(SUM($C$44:BJ44)-SUM($C$63:BJ63)&gt;0,SUM($C$44:BJ44)-SUM($C$63:BJ63),0)</f>
        <v>0</v>
      </c>
      <c r="BK101" s="14">
        <f>IF(SUM($C$44:BK44)-SUM($C$63:BK63)&gt;0,SUM($C$44:BK44)-SUM($C$63:BK63),0)</f>
        <v>0</v>
      </c>
      <c r="BL101" s="93">
        <f>IF(SUM($C$44:BL44)-SUM($C$63:BL63)&gt;0,SUM($C$44:BL44)-SUM($C$63:BL63),0)</f>
        <v>0</v>
      </c>
      <c r="BM101" s="93" t="e">
        <f>IF(SUM($C$44:BM44)-SUM($C$63:BM63)&gt;0,SUM($C$44:BM44)-SUM($C$63:BM63),0)</f>
        <v>#DIV/0!</v>
      </c>
      <c r="BN101" s="93" t="e">
        <f>IF(SUM($C$44:BN44)-SUM($C$63:BN63)&gt;0,SUM($C$44:BN44)-SUM($C$63:BN63),0)</f>
        <v>#DIV/0!</v>
      </c>
      <c r="BO101" s="93" t="e">
        <f>IF(SUM($C$44:BO44)-SUM($C$63:BO63)&gt;0,SUM($C$44:BO44)-SUM($C$63:BO63),0)</f>
        <v>#DIV/0!</v>
      </c>
      <c r="BP101" s="93" t="e">
        <f>IF(SUM($C$44:BP44)-SUM($C$63:BP63)&gt;0,SUM($C$44:BP44)-SUM($C$63:BP63),0)</f>
        <v>#DIV/0!</v>
      </c>
      <c r="BQ101" s="93" t="e">
        <f>IF(SUM($C$44:BQ44)-SUM($C$63:BQ63)&gt;0,SUM($C$44:BQ44)-SUM($C$63:BQ63),0)</f>
        <v>#DIV/0!</v>
      </c>
      <c r="BR101" s="93" t="e">
        <f>IF(SUM($C$44:BR44)-SUM($C$63:BR63)&gt;0,SUM($C$44:BR44)-SUM($C$63:BR63),0)</f>
        <v>#DIV/0!</v>
      </c>
      <c r="BS101" s="93" t="e">
        <f>IF(SUM($C$44:BS44)-SUM($C$63:BS63)&gt;0,SUM($C$44:BS44)-SUM($C$63:BS63),0)</f>
        <v>#DIV/0!</v>
      </c>
      <c r="BT101" s="93" t="e">
        <f>IF(SUM($C$44:BT44)-SUM($C$63:BT63)&gt;0,SUM($C$44:BT44)-SUM($C$63:BT63),0)</f>
        <v>#DIV/0!</v>
      </c>
      <c r="BU101" s="93" t="e">
        <f>IF(SUM($C$44:BU44)-SUM($C$63:BU63)&gt;0,SUM($C$44:BU44)-SUM($C$63:BU63),0)</f>
        <v>#DIV/0!</v>
      </c>
      <c r="BV101" s="93" t="e">
        <f>IF(SUM($C$44:BV44)-SUM($C$63:BV63)&gt;0,SUM($C$44:BV44)-SUM($C$63:BV63),0)</f>
        <v>#DIV/0!</v>
      </c>
      <c r="BW101" s="93" t="e">
        <f>IF(SUM($C$44:BW44)-SUM($C$63:BW63)&gt;0,SUM($C$44:BW44)-SUM($C$63:BW63),0)</f>
        <v>#DIV/0!</v>
      </c>
    </row>
    <row r="102" spans="1:75" hidden="1" x14ac:dyDescent="0.3">
      <c r="A102" s="104" t="str">
        <f t="shared" si="30"/>
        <v xml:space="preserve">Saldos del crédito </v>
      </c>
      <c r="B102" s="105"/>
      <c r="C102" s="14">
        <f>IF(SUM($C$45:C45)-SUM($C$64:C64)&gt;0,SUM($C$45:C45)-SUM($C$64:C64),0)</f>
        <v>0</v>
      </c>
      <c r="D102" s="14">
        <f>IF(SUM($C$45:D45)-SUM($C$64:D64)&gt;0,SUM($C$45:D45)-SUM($C$64:D64),0)</f>
        <v>0</v>
      </c>
      <c r="E102" s="14">
        <f>IF(SUM($C$45:E45)-SUM($C$64:E64)&gt;0,SUM($C$45:E45)-SUM($C$64:E64),0)</f>
        <v>0</v>
      </c>
      <c r="F102" s="14">
        <f>IF(SUM($C$45:F45)-SUM($C$64:F64)&gt;0,SUM($C$45:F45)-SUM($C$64:F64),0)</f>
        <v>0</v>
      </c>
      <c r="G102" s="14">
        <f>IF(SUM($C$45:G45)-SUM($C$64:G64)&gt;0,SUM($C$45:G45)-SUM($C$64:G64),0)</f>
        <v>0</v>
      </c>
      <c r="H102" s="14">
        <f>IF(SUM($C$45:H45)-SUM($C$64:H64)&gt;0,SUM($C$45:H45)-SUM($C$64:H64),0)</f>
        <v>0</v>
      </c>
      <c r="I102" s="14">
        <f>IF(SUM($C$45:I45)-SUM($C$64:I64)&gt;0,SUM($C$45:I45)-SUM($C$64:I64),0)</f>
        <v>0</v>
      </c>
      <c r="J102" s="14">
        <f>IF(SUM($C$45:J45)-SUM($C$64:J64)&gt;0,SUM($C$45:J45)-SUM($C$64:J64),0)</f>
        <v>0</v>
      </c>
      <c r="K102" s="14">
        <f>IF(SUM($C$45:K45)-SUM($C$64:K64)&gt;0,SUM($C$45:K45)-SUM($C$64:K64),0)</f>
        <v>0</v>
      </c>
      <c r="L102" s="14">
        <f>IF(SUM($C$45:L45)-SUM($C$64:L64)&gt;0,SUM($C$45:L45)-SUM($C$64:L64),0)</f>
        <v>0</v>
      </c>
      <c r="M102" s="14">
        <f>IF(SUM($C$45:M45)-SUM($C$64:M64)&gt;0,SUM($C$45:M45)-SUM($C$64:M64),0)</f>
        <v>0</v>
      </c>
      <c r="N102" s="14">
        <f>IF(SUM($C$45:N45)-SUM($C$64:N64)&gt;0,SUM($C$45:N45)-SUM($C$64:N64),0)</f>
        <v>0</v>
      </c>
      <c r="O102" s="14">
        <f>IF(SUM($C$45:O45)-SUM($C$64:O64)&gt;0,SUM($C$45:O45)-SUM($C$64:O64),0)</f>
        <v>0</v>
      </c>
      <c r="P102" s="14">
        <f>IF(SUM($C$45:P45)-SUM($C$64:P64)&gt;0,SUM($C$45:P45)-SUM($C$64:P64),0)</f>
        <v>0</v>
      </c>
      <c r="Q102" s="14">
        <f>IF(SUM($C$45:Q45)-SUM($C$64:Q64)&gt;0,SUM($C$45:Q45)-SUM($C$64:Q64),0)</f>
        <v>0</v>
      </c>
      <c r="R102" s="14">
        <f>IF(SUM($C$45:R45)-SUM($C$64:R64)&gt;0,SUM($C$45:R45)-SUM($C$64:R64),0)</f>
        <v>0</v>
      </c>
      <c r="S102" s="14">
        <f>IF(SUM($C$45:S45)-SUM($C$64:S64)&gt;0,SUM($C$45:S45)-SUM($C$64:S64),0)</f>
        <v>0</v>
      </c>
      <c r="T102" s="14">
        <f>IF(SUM($C$45:T45)-SUM($C$64:T64)&gt;0,SUM($C$45:T45)-SUM($C$64:T64),0)</f>
        <v>0</v>
      </c>
      <c r="U102" s="14">
        <f>IF(SUM($C$45:U45)-SUM($C$64:U64)&gt;0,SUM($C$45:U45)-SUM($C$64:U64),0)</f>
        <v>0</v>
      </c>
      <c r="V102" s="14">
        <f>IF(SUM($C$45:V45)-SUM($C$64:V64)&gt;0,SUM($C$45:V45)-SUM($C$64:V64),0)</f>
        <v>0</v>
      </c>
      <c r="W102" s="14">
        <f>IF(SUM($C$45:W45)-SUM($C$64:W64)&gt;0,SUM($C$45:W45)-SUM($C$64:W64),0)</f>
        <v>0</v>
      </c>
      <c r="X102" s="14">
        <f>IF(SUM($C$45:X45)-SUM($C$64:X64)&gt;0,SUM($C$45:X45)-SUM($C$64:X64),0)</f>
        <v>0</v>
      </c>
      <c r="Y102" s="14">
        <f>IF(SUM($C$45:Y45)-SUM($C$64:Y64)&gt;0,SUM($C$45:Y45)-SUM($C$64:Y64),0)</f>
        <v>0</v>
      </c>
      <c r="Z102" s="14">
        <f>IF(SUM($C$45:Z45)-SUM($C$64:Z64)&gt;0,SUM($C$45:Z45)-SUM($C$64:Z64),0)</f>
        <v>0</v>
      </c>
      <c r="AA102" s="14">
        <f>IF(SUM($C$45:AA45)-SUM($C$64:AA64)&gt;0,SUM($C$45:AA45)-SUM($C$64:AA64),0)</f>
        <v>0</v>
      </c>
      <c r="AB102" s="14">
        <f>IF(SUM($C$45:AB45)-SUM($C$64:AB64)&gt;0,SUM($C$45:AB45)-SUM($C$64:AB64),0)</f>
        <v>0</v>
      </c>
      <c r="AC102" s="14">
        <f>IF(SUM($C$45:AC45)-SUM($C$64:AC64)&gt;0,SUM($C$45:AC45)-SUM($C$64:AC64),0)</f>
        <v>0</v>
      </c>
      <c r="AD102" s="14">
        <f>IF(SUM($C$45:AD45)-SUM($C$64:AD64)&gt;0,SUM($C$45:AD45)-SUM($C$64:AD64),0)</f>
        <v>0</v>
      </c>
      <c r="AE102" s="14">
        <f>IF(SUM($C$45:AE45)-SUM($C$64:AE64)&gt;0,SUM($C$45:AE45)-SUM($C$64:AE64),0)</f>
        <v>0</v>
      </c>
      <c r="AF102" s="14">
        <f>IF(SUM($C$45:AF45)-SUM($C$64:AF64)&gt;0,SUM($C$45:AF45)-SUM($C$64:AF64),0)</f>
        <v>0</v>
      </c>
      <c r="AG102" s="14">
        <f>IF(SUM($C$45:AG45)-SUM($C$64:AG64)&gt;0,SUM($C$45:AG45)-SUM($C$64:AG64),0)</f>
        <v>0</v>
      </c>
      <c r="AH102" s="14">
        <f>IF(SUM($C$45:AH45)-SUM($C$64:AH64)&gt;0,SUM($C$45:AH45)-SUM($C$64:AH64),0)</f>
        <v>0</v>
      </c>
      <c r="AI102" s="14">
        <f>IF(SUM($C$45:AI45)-SUM($C$64:AI64)&gt;0,SUM($C$45:AI45)-SUM($C$64:AI64),0)</f>
        <v>0</v>
      </c>
      <c r="AJ102" s="14">
        <f>IF(SUM($C$45:AJ45)-SUM($C$64:AJ64)&gt;0,SUM($C$45:AJ45)-SUM($C$64:AJ64),0)</f>
        <v>0</v>
      </c>
      <c r="AK102" s="14">
        <f>IF(SUM($C$45:AK45)-SUM($C$64:AK64)&gt;0,SUM($C$45:AK45)-SUM($C$64:AK64),0)</f>
        <v>0</v>
      </c>
      <c r="AL102" s="14">
        <f>IF(SUM($C$45:AL45)-SUM($C$64:AL64)&gt;0,SUM($C$45:AL45)-SUM($C$64:AL64),0)</f>
        <v>0</v>
      </c>
      <c r="AM102" s="14">
        <f>IF(SUM($C$45:AM45)-SUM($C$64:AM64)&gt;0,SUM($C$45:AM45)-SUM($C$64:AM64),0)</f>
        <v>0</v>
      </c>
      <c r="AN102" s="14">
        <f>IF(SUM($C$45:AN45)-SUM($C$64:AN64)&gt;0,SUM($C$45:AN45)-SUM($C$64:AN64),0)</f>
        <v>0</v>
      </c>
      <c r="AO102" s="14">
        <f>IF(SUM($C$45:AO45)-SUM($C$64:AO64)&gt;0,SUM($C$45:AO45)-SUM($C$64:AO64),0)</f>
        <v>0</v>
      </c>
      <c r="AP102" s="14">
        <f>IF(SUM($C$45:AP45)-SUM($C$64:AP64)&gt;0,SUM($C$45:AP45)-SUM($C$64:AP64),0)</f>
        <v>0</v>
      </c>
      <c r="AQ102" s="14">
        <f>IF(SUM($C$45:AQ45)-SUM($C$64:AQ64)&gt;0,SUM($C$45:AQ45)-SUM($C$64:AQ64),0)</f>
        <v>0</v>
      </c>
      <c r="AR102" s="14">
        <f>IF(SUM($C$45:AR45)-SUM($C$64:AR64)&gt;0,SUM($C$45:AR45)-SUM($C$64:AR64),0)</f>
        <v>0</v>
      </c>
      <c r="AS102" s="14">
        <f>IF(SUM($C$45:AS45)-SUM($C$64:AS64)&gt;0,SUM($C$45:AS45)-SUM($C$64:AS64),0)</f>
        <v>0</v>
      </c>
      <c r="AT102" s="14">
        <f>IF(SUM($C$45:AT45)-SUM($C$64:AT64)&gt;0,SUM($C$45:AT45)-SUM($C$64:AT64),0)</f>
        <v>0</v>
      </c>
      <c r="AU102" s="14">
        <f>IF(SUM($C$45:AU45)-SUM($C$64:AU64)&gt;0,SUM($C$45:AU45)-SUM($C$64:AU64),0)</f>
        <v>0</v>
      </c>
      <c r="AV102" s="14">
        <f>IF(SUM($C$45:AV45)-SUM($C$64:AV64)&gt;0,SUM($C$45:AV45)-SUM($C$64:AV64),0)</f>
        <v>0</v>
      </c>
      <c r="AW102" s="14">
        <f>IF(SUM($C$45:AW45)-SUM($C$64:AW64)&gt;0,SUM($C$45:AW45)-SUM($C$64:AW64),0)</f>
        <v>0</v>
      </c>
      <c r="AX102" s="14">
        <f>IF(SUM($C$45:AX45)-SUM($C$64:AX64)&gt;0,SUM($C$45:AX45)-SUM($C$64:AX64),0)</f>
        <v>0</v>
      </c>
      <c r="AY102" s="14">
        <f>IF(SUM($C$45:AY45)-SUM($C$64:AY64)&gt;0,SUM($C$45:AY45)-SUM($C$64:AY64),0)</f>
        <v>0</v>
      </c>
      <c r="AZ102" s="14">
        <f>IF(SUM($C$45:AZ45)-SUM($C$64:AZ64)&gt;0,SUM($C$45:AZ45)-SUM($C$64:AZ64),0)</f>
        <v>0</v>
      </c>
      <c r="BA102" s="14">
        <f>IF(SUM($C$45:BA45)-SUM($C$64:BA64)&gt;0,SUM($C$45:BA45)-SUM($C$64:BA64),0)</f>
        <v>0</v>
      </c>
      <c r="BB102" s="14">
        <f>IF(SUM($C$45:BB45)-SUM($C$64:BB64)&gt;0,SUM($C$45:BB45)-SUM($C$64:BB64),0)</f>
        <v>0</v>
      </c>
      <c r="BC102" s="14">
        <f>IF(SUM($C$45:BC45)-SUM($C$64:BC64)&gt;0,SUM($C$45:BC45)-SUM($C$64:BC64),0)</f>
        <v>0</v>
      </c>
      <c r="BD102" s="14">
        <f>IF(SUM($C$45:BD45)-SUM($C$64:BD64)&gt;0,SUM($C$45:BD45)-SUM($C$64:BD64),0)</f>
        <v>0</v>
      </c>
      <c r="BE102" s="14">
        <f>IF(SUM($C$45:BE45)-SUM($C$64:BE64)&gt;0,SUM($C$45:BE45)-SUM($C$64:BE64),0)</f>
        <v>0</v>
      </c>
      <c r="BF102" s="14">
        <f>IF(SUM($C$45:BF45)-SUM($C$64:BF64)&gt;0,SUM($C$45:BF45)-SUM($C$64:BF64),0)</f>
        <v>0</v>
      </c>
      <c r="BG102" s="14">
        <f>IF(SUM($C$45:BG45)-SUM($C$64:BG64)&gt;0,SUM($C$45:BG45)-SUM($C$64:BG64),0)</f>
        <v>0</v>
      </c>
      <c r="BH102" s="14">
        <f>IF(SUM($C$45:BH45)-SUM($C$64:BH64)&gt;0,SUM($C$45:BH45)-SUM($C$64:BH64),0)</f>
        <v>0</v>
      </c>
      <c r="BI102" s="14">
        <f>IF(SUM($C$45:BI45)-SUM($C$64:BI64)&gt;0,SUM($C$45:BI45)-SUM($C$64:BI64),0)</f>
        <v>0</v>
      </c>
      <c r="BJ102" s="14">
        <f>IF(SUM($C$45:BJ45)-SUM($C$64:BJ64)&gt;0,SUM($C$45:BJ45)-SUM($C$64:BJ64),0)</f>
        <v>0</v>
      </c>
      <c r="BK102" s="14">
        <f>IF(SUM($C$45:BK45)-SUM($C$64:BK64)&gt;0,SUM($C$45:BK45)-SUM($C$64:BK64),0)</f>
        <v>0</v>
      </c>
      <c r="BL102" s="93">
        <f>IF(SUM($C$45:BL45)-SUM($C$64:BL64)&gt;0,SUM($C$45:BL45)-SUM($C$64:BL64),0)</f>
        <v>0</v>
      </c>
      <c r="BM102" s="93" t="e">
        <f>IF(SUM($C$45:BM45)-SUM($C$64:BM64)&gt;0,SUM($C$45:BM45)-SUM($C$64:BM64),0)</f>
        <v>#DIV/0!</v>
      </c>
      <c r="BN102" s="93" t="e">
        <f>IF(SUM($C$45:BN45)-SUM($C$64:BN64)&gt;0,SUM($C$45:BN45)-SUM($C$64:BN64),0)</f>
        <v>#DIV/0!</v>
      </c>
      <c r="BO102" s="93" t="e">
        <f>IF(SUM($C$45:BO45)-SUM($C$64:BO64)&gt;0,SUM($C$45:BO45)-SUM($C$64:BO64),0)</f>
        <v>#DIV/0!</v>
      </c>
      <c r="BP102" s="93" t="e">
        <f>IF(SUM($C$45:BP45)-SUM($C$64:BP64)&gt;0,SUM($C$45:BP45)-SUM($C$64:BP64),0)</f>
        <v>#DIV/0!</v>
      </c>
      <c r="BQ102" s="93" t="e">
        <f>IF(SUM($C$45:BQ45)-SUM($C$64:BQ64)&gt;0,SUM($C$45:BQ45)-SUM($C$64:BQ64),0)</f>
        <v>#DIV/0!</v>
      </c>
      <c r="BR102" s="93" t="e">
        <f>IF(SUM($C$45:BR45)-SUM($C$64:BR64)&gt;0,SUM($C$45:BR45)-SUM($C$64:BR64),0)</f>
        <v>#DIV/0!</v>
      </c>
      <c r="BS102" s="93" t="e">
        <f>IF(SUM($C$45:BS45)-SUM($C$64:BS64)&gt;0,SUM($C$45:BS45)-SUM($C$64:BS64),0)</f>
        <v>#DIV/0!</v>
      </c>
      <c r="BT102" s="93" t="e">
        <f>IF(SUM($C$45:BT45)-SUM($C$64:BT64)&gt;0,SUM($C$45:BT45)-SUM($C$64:BT64),0)</f>
        <v>#DIV/0!</v>
      </c>
      <c r="BU102" s="93" t="e">
        <f>IF(SUM($C$45:BU45)-SUM($C$64:BU64)&gt;0,SUM($C$45:BU45)-SUM($C$64:BU64),0)</f>
        <v>#DIV/0!</v>
      </c>
      <c r="BV102" s="93" t="e">
        <f>IF(SUM($C$45:BV45)-SUM($C$64:BV64)&gt;0,SUM($C$45:BV45)-SUM($C$64:BV64),0)</f>
        <v>#DIV/0!</v>
      </c>
      <c r="BW102" s="93" t="e">
        <f>IF(SUM($C$45:BW45)-SUM($C$64:BW64)&gt;0,SUM($C$45:BW45)-SUM($C$64:BW64),0)</f>
        <v>#DIV/0!</v>
      </c>
    </row>
    <row r="103" spans="1:75" hidden="1" x14ac:dyDescent="0.3">
      <c r="A103" s="104" t="str">
        <f t="shared" si="30"/>
        <v xml:space="preserve">Saldos del crédito </v>
      </c>
      <c r="B103" s="105"/>
      <c r="C103" s="14">
        <f>IF(SUM($C$46:C46)-SUM($C$65:C65)&gt;0,SUM($C$46:C46)-SUM($C$65:C65),0)</f>
        <v>0</v>
      </c>
      <c r="D103" s="14">
        <f>IF(SUM($C$46:D46)-SUM($C$65:D65)&gt;0,SUM($C$46:D46)-SUM($C$65:D65),0)</f>
        <v>0</v>
      </c>
      <c r="E103" s="14">
        <f>IF(SUM($C$46:E46)-SUM($C$65:E65)&gt;0,SUM($C$46:E46)-SUM($C$65:E65),0)</f>
        <v>0</v>
      </c>
      <c r="F103" s="14">
        <f>IF(SUM($C$46:F46)-SUM($C$65:F65)&gt;0,SUM($C$46:F46)-SUM($C$65:F65),0)</f>
        <v>0</v>
      </c>
      <c r="G103" s="14">
        <f>IF(SUM($C$46:G46)-SUM($C$65:G65)&gt;0,SUM($C$46:G46)-SUM($C$65:G65),0)</f>
        <v>0</v>
      </c>
      <c r="H103" s="14">
        <f>IF(SUM($C$46:H46)-SUM($C$65:H65)&gt;0,SUM($C$46:H46)-SUM($C$65:H65),0)</f>
        <v>0</v>
      </c>
      <c r="I103" s="14">
        <f>IF(SUM($C$46:I46)-SUM($C$65:I65)&gt;0,SUM($C$46:I46)-SUM($C$65:I65),0)</f>
        <v>0</v>
      </c>
      <c r="J103" s="14">
        <f>IF(SUM($C$46:J46)-SUM($C$65:J65)&gt;0,SUM($C$46:J46)-SUM($C$65:J65),0)</f>
        <v>0</v>
      </c>
      <c r="K103" s="14">
        <f>IF(SUM($C$46:K46)-SUM($C$65:K65)&gt;0,SUM($C$46:K46)-SUM($C$65:K65),0)</f>
        <v>0</v>
      </c>
      <c r="L103" s="14">
        <f>IF(SUM($C$46:L46)-SUM($C$65:L65)&gt;0,SUM($C$46:L46)-SUM($C$65:L65),0)</f>
        <v>0</v>
      </c>
      <c r="M103" s="14">
        <f>IF(SUM($C$46:M46)-SUM($C$65:M65)&gt;0,SUM($C$46:M46)-SUM($C$65:M65),0)</f>
        <v>0</v>
      </c>
      <c r="N103" s="14">
        <f>IF(SUM($C$46:N46)-SUM($C$65:N65)&gt;0,SUM($C$46:N46)-SUM($C$65:N65),0)</f>
        <v>0</v>
      </c>
      <c r="O103" s="14">
        <f>IF(SUM($C$46:O46)-SUM($C$65:O65)&gt;0,SUM($C$46:O46)-SUM($C$65:O65),0)</f>
        <v>0</v>
      </c>
      <c r="P103" s="14">
        <f>IF(SUM($C$46:P46)-SUM($C$65:P65)&gt;0,SUM($C$46:P46)-SUM($C$65:P65),0)</f>
        <v>0</v>
      </c>
      <c r="Q103" s="14">
        <f>IF(SUM($C$46:Q46)-SUM($C$65:Q65)&gt;0,SUM($C$46:Q46)-SUM($C$65:Q65),0)</f>
        <v>0</v>
      </c>
      <c r="R103" s="14">
        <f>IF(SUM($C$46:R46)-SUM($C$65:R65)&gt;0,SUM($C$46:R46)-SUM($C$65:R65),0)</f>
        <v>0</v>
      </c>
      <c r="S103" s="14">
        <f>IF(SUM($C$46:S46)-SUM($C$65:S65)&gt;0,SUM($C$46:S46)-SUM($C$65:S65),0)</f>
        <v>0</v>
      </c>
      <c r="T103" s="14">
        <f>IF(SUM($C$46:T46)-SUM($C$65:T65)&gt;0,SUM($C$46:T46)-SUM($C$65:T65),0)</f>
        <v>0</v>
      </c>
      <c r="U103" s="14">
        <f>IF(SUM($C$46:U46)-SUM($C$65:U65)&gt;0,SUM($C$46:U46)-SUM($C$65:U65),0)</f>
        <v>0</v>
      </c>
      <c r="V103" s="14">
        <f>IF(SUM($C$46:V46)-SUM($C$65:V65)&gt;0,SUM($C$46:V46)-SUM($C$65:V65),0)</f>
        <v>0</v>
      </c>
      <c r="W103" s="14">
        <f>IF(SUM($C$46:W46)-SUM($C$65:W65)&gt;0,SUM($C$46:W46)-SUM($C$65:W65),0)</f>
        <v>0</v>
      </c>
      <c r="X103" s="14">
        <f>IF(SUM($C$46:X46)-SUM($C$65:X65)&gt;0,SUM($C$46:X46)-SUM($C$65:X65),0)</f>
        <v>0</v>
      </c>
      <c r="Y103" s="14">
        <f>IF(SUM($C$46:Y46)-SUM($C$65:Y65)&gt;0,SUM($C$46:Y46)-SUM($C$65:Y65),0)</f>
        <v>0</v>
      </c>
      <c r="Z103" s="14">
        <f>IF(SUM($C$46:Z46)-SUM($C$65:Z65)&gt;0,SUM($C$46:Z46)-SUM($C$65:Z65),0)</f>
        <v>0</v>
      </c>
      <c r="AA103" s="14">
        <f>IF(SUM($C$46:AA46)-SUM($C$65:AA65)&gt;0,SUM($C$46:AA46)-SUM($C$65:AA65),0)</f>
        <v>0</v>
      </c>
      <c r="AB103" s="14">
        <f>IF(SUM($C$46:AB46)-SUM($C$65:AB65)&gt;0,SUM($C$46:AB46)-SUM($C$65:AB65),0)</f>
        <v>0</v>
      </c>
      <c r="AC103" s="14">
        <f>IF(SUM($C$46:AC46)-SUM($C$65:AC65)&gt;0,SUM($C$46:AC46)-SUM($C$65:AC65),0)</f>
        <v>0</v>
      </c>
      <c r="AD103" s="14">
        <f>IF(SUM($C$46:AD46)-SUM($C$65:AD65)&gt;0,SUM($C$46:AD46)-SUM($C$65:AD65),0)</f>
        <v>0</v>
      </c>
      <c r="AE103" s="14">
        <f>IF(SUM($C$46:AE46)-SUM($C$65:AE65)&gt;0,SUM($C$46:AE46)-SUM($C$65:AE65),0)</f>
        <v>0</v>
      </c>
      <c r="AF103" s="14">
        <f>IF(SUM($C$46:AF46)-SUM($C$65:AF65)&gt;0,SUM($C$46:AF46)-SUM($C$65:AF65),0)</f>
        <v>0</v>
      </c>
      <c r="AG103" s="14">
        <f>IF(SUM($C$46:AG46)-SUM($C$65:AG65)&gt;0,SUM($C$46:AG46)-SUM($C$65:AG65),0)</f>
        <v>0</v>
      </c>
      <c r="AH103" s="14">
        <f>IF(SUM($C$46:AH46)-SUM($C$65:AH65)&gt;0,SUM($C$46:AH46)-SUM($C$65:AH65),0)</f>
        <v>0</v>
      </c>
      <c r="AI103" s="14">
        <f>IF(SUM($C$46:AI46)-SUM($C$65:AI65)&gt;0,SUM($C$46:AI46)-SUM($C$65:AI65),0)</f>
        <v>0</v>
      </c>
      <c r="AJ103" s="14">
        <f>IF(SUM($C$46:AJ46)-SUM($C$65:AJ65)&gt;0,SUM($C$46:AJ46)-SUM($C$65:AJ65),0)</f>
        <v>0</v>
      </c>
      <c r="AK103" s="14">
        <f>IF(SUM($C$46:AK46)-SUM($C$65:AK65)&gt;0,SUM($C$46:AK46)-SUM($C$65:AK65),0)</f>
        <v>0</v>
      </c>
      <c r="AL103" s="14">
        <f>IF(SUM($C$46:AL46)-SUM($C$65:AL65)&gt;0,SUM($C$46:AL46)-SUM($C$65:AL65),0)</f>
        <v>0</v>
      </c>
      <c r="AM103" s="14">
        <f>IF(SUM($C$46:AM46)-SUM($C$65:AM65)&gt;0,SUM($C$46:AM46)-SUM($C$65:AM65),0)</f>
        <v>0</v>
      </c>
      <c r="AN103" s="14">
        <f>IF(SUM($C$46:AN46)-SUM($C$65:AN65)&gt;0,SUM($C$46:AN46)-SUM($C$65:AN65),0)</f>
        <v>0</v>
      </c>
      <c r="AO103" s="14">
        <f>IF(SUM($C$46:AO46)-SUM($C$65:AO65)&gt;0,SUM($C$46:AO46)-SUM($C$65:AO65),0)</f>
        <v>0</v>
      </c>
      <c r="AP103" s="14">
        <f>IF(SUM($C$46:AP46)-SUM($C$65:AP65)&gt;0,SUM($C$46:AP46)-SUM($C$65:AP65),0)</f>
        <v>0</v>
      </c>
      <c r="AQ103" s="14">
        <f>IF(SUM($C$46:AQ46)-SUM($C$65:AQ65)&gt;0,SUM($C$46:AQ46)-SUM($C$65:AQ65),0)</f>
        <v>0</v>
      </c>
      <c r="AR103" s="14">
        <f>IF(SUM($C$46:AR46)-SUM($C$65:AR65)&gt;0,SUM($C$46:AR46)-SUM($C$65:AR65),0)</f>
        <v>0</v>
      </c>
      <c r="AS103" s="14">
        <f>IF(SUM($C$46:AS46)-SUM($C$65:AS65)&gt;0,SUM($C$46:AS46)-SUM($C$65:AS65),0)</f>
        <v>0</v>
      </c>
      <c r="AT103" s="14">
        <f>IF(SUM($C$46:AT46)-SUM($C$65:AT65)&gt;0,SUM($C$46:AT46)-SUM($C$65:AT65),0)</f>
        <v>0</v>
      </c>
      <c r="AU103" s="14">
        <f>IF(SUM($C$46:AU46)-SUM($C$65:AU65)&gt;0,SUM($C$46:AU46)-SUM($C$65:AU65),0)</f>
        <v>0</v>
      </c>
      <c r="AV103" s="14">
        <f>IF(SUM($C$46:AV46)-SUM($C$65:AV65)&gt;0,SUM($C$46:AV46)-SUM($C$65:AV65),0)</f>
        <v>0</v>
      </c>
      <c r="AW103" s="14">
        <f>IF(SUM($C$46:AW46)-SUM($C$65:AW65)&gt;0,SUM($C$46:AW46)-SUM($C$65:AW65),0)</f>
        <v>0</v>
      </c>
      <c r="AX103" s="14">
        <f>IF(SUM($C$46:AX46)-SUM($C$65:AX65)&gt;0,SUM($C$46:AX46)-SUM($C$65:AX65),0)</f>
        <v>0</v>
      </c>
      <c r="AY103" s="14">
        <f>IF(SUM($C$46:AY46)-SUM($C$65:AY65)&gt;0,SUM($C$46:AY46)-SUM($C$65:AY65),0)</f>
        <v>0</v>
      </c>
      <c r="AZ103" s="14">
        <f>IF(SUM($C$46:AZ46)-SUM($C$65:AZ65)&gt;0,SUM($C$46:AZ46)-SUM($C$65:AZ65),0)</f>
        <v>0</v>
      </c>
      <c r="BA103" s="14">
        <f>IF(SUM($C$46:BA46)-SUM($C$65:BA65)&gt;0,SUM($C$46:BA46)-SUM($C$65:BA65),0)</f>
        <v>0</v>
      </c>
      <c r="BB103" s="14">
        <f>IF(SUM($C$46:BB46)-SUM($C$65:BB65)&gt;0,SUM($C$46:BB46)-SUM($C$65:BB65),0)</f>
        <v>0</v>
      </c>
      <c r="BC103" s="14">
        <f>IF(SUM($C$46:BC46)-SUM($C$65:BC65)&gt;0,SUM($C$46:BC46)-SUM($C$65:BC65),0)</f>
        <v>0</v>
      </c>
      <c r="BD103" s="14">
        <f>IF(SUM($C$46:BD46)-SUM($C$65:BD65)&gt;0,SUM($C$46:BD46)-SUM($C$65:BD65),0)</f>
        <v>0</v>
      </c>
      <c r="BE103" s="14">
        <f>IF(SUM($C$46:BE46)-SUM($C$65:BE65)&gt;0,SUM($C$46:BE46)-SUM($C$65:BE65),0)</f>
        <v>0</v>
      </c>
      <c r="BF103" s="14">
        <f>IF(SUM($C$46:BF46)-SUM($C$65:BF65)&gt;0,SUM($C$46:BF46)-SUM($C$65:BF65),0)</f>
        <v>0</v>
      </c>
      <c r="BG103" s="14">
        <f>IF(SUM($C$46:BG46)-SUM($C$65:BG65)&gt;0,SUM($C$46:BG46)-SUM($C$65:BG65),0)</f>
        <v>0</v>
      </c>
      <c r="BH103" s="14">
        <f>IF(SUM($C$46:BH46)-SUM($C$65:BH65)&gt;0,SUM($C$46:BH46)-SUM($C$65:BH65),0)</f>
        <v>0</v>
      </c>
      <c r="BI103" s="14">
        <f>IF(SUM($C$46:BI46)-SUM($C$65:BI65)&gt;0,SUM($C$46:BI46)-SUM($C$65:BI65),0)</f>
        <v>0</v>
      </c>
      <c r="BJ103" s="14">
        <f>IF(SUM($C$46:BJ46)-SUM($C$65:BJ65)&gt;0,SUM($C$46:BJ46)-SUM($C$65:BJ65),0)</f>
        <v>0</v>
      </c>
      <c r="BK103" s="14">
        <f>IF(SUM($C$46:BK46)-SUM($C$65:BK65)&gt;0,SUM($C$46:BK46)-SUM($C$65:BK65),0)</f>
        <v>0</v>
      </c>
      <c r="BL103" s="93">
        <f>IF(SUM($C$46:BL46)-SUM($C$65:BL65)&gt;0,SUM($C$46:BL46)-SUM($C$65:BL65),0)</f>
        <v>0</v>
      </c>
      <c r="BM103" s="93" t="e">
        <f>IF(SUM($C$46:BM46)-SUM($C$65:BM65)&gt;0,SUM($C$46:BM46)-SUM($C$65:BM65),0)</f>
        <v>#DIV/0!</v>
      </c>
      <c r="BN103" s="93" t="e">
        <f>IF(SUM($C$46:BN46)-SUM($C$65:BN65)&gt;0,SUM($C$46:BN46)-SUM($C$65:BN65),0)</f>
        <v>#DIV/0!</v>
      </c>
      <c r="BO103" s="93" t="e">
        <f>IF(SUM($C$46:BO46)-SUM($C$65:BO65)&gt;0,SUM($C$46:BO46)-SUM($C$65:BO65),0)</f>
        <v>#DIV/0!</v>
      </c>
      <c r="BP103" s="93" t="e">
        <f>IF(SUM($C$46:BP46)-SUM($C$65:BP65)&gt;0,SUM($C$46:BP46)-SUM($C$65:BP65),0)</f>
        <v>#DIV/0!</v>
      </c>
      <c r="BQ103" s="93" t="e">
        <f>IF(SUM($C$46:BQ46)-SUM($C$65:BQ65)&gt;0,SUM($C$46:BQ46)-SUM($C$65:BQ65),0)</f>
        <v>#DIV/0!</v>
      </c>
      <c r="BR103" s="93" t="e">
        <f>IF(SUM($C$46:BR46)-SUM($C$65:BR65)&gt;0,SUM($C$46:BR46)-SUM($C$65:BR65),0)</f>
        <v>#DIV/0!</v>
      </c>
      <c r="BS103" s="93" t="e">
        <f>IF(SUM($C$46:BS46)-SUM($C$65:BS65)&gt;0,SUM($C$46:BS46)-SUM($C$65:BS65),0)</f>
        <v>#DIV/0!</v>
      </c>
      <c r="BT103" s="93" t="e">
        <f>IF(SUM($C$46:BT46)-SUM($C$65:BT65)&gt;0,SUM($C$46:BT46)-SUM($C$65:BT65),0)</f>
        <v>#DIV/0!</v>
      </c>
      <c r="BU103" s="93" t="e">
        <f>IF(SUM($C$46:BU46)-SUM($C$65:BU65)&gt;0,SUM($C$46:BU46)-SUM($C$65:BU65),0)</f>
        <v>#DIV/0!</v>
      </c>
      <c r="BV103" s="93" t="e">
        <f>IF(SUM($C$46:BV46)-SUM($C$65:BV65)&gt;0,SUM($C$46:BV46)-SUM($C$65:BV65),0)</f>
        <v>#DIV/0!</v>
      </c>
      <c r="BW103" s="93" t="e">
        <f>IF(SUM($C$46:BW46)-SUM($C$65:BW65)&gt;0,SUM($C$46:BW46)-SUM($C$65:BW65),0)</f>
        <v>#DIV/0!</v>
      </c>
    </row>
    <row r="104" spans="1:75" hidden="1" x14ac:dyDescent="0.3">
      <c r="A104" s="110" t="s">
        <v>231</v>
      </c>
      <c r="B104" s="111"/>
      <c r="C104" s="9">
        <f>SUM(C89:C103)</f>
        <v>0</v>
      </c>
      <c r="D104" s="9">
        <f>SUM(D89:D103)</f>
        <v>0</v>
      </c>
      <c r="E104" s="9">
        <f t="shared" ref="E104:AH104" si="31">SUM(E89:E103)</f>
        <v>0</v>
      </c>
      <c r="F104" s="9">
        <f t="shared" si="31"/>
        <v>0</v>
      </c>
      <c r="G104" s="9">
        <f t="shared" si="31"/>
        <v>0</v>
      </c>
      <c r="H104" s="9">
        <f t="shared" si="31"/>
        <v>0</v>
      </c>
      <c r="I104" s="9">
        <f t="shared" si="31"/>
        <v>0</v>
      </c>
      <c r="J104" s="9">
        <f t="shared" si="31"/>
        <v>0</v>
      </c>
      <c r="K104" s="9">
        <f t="shared" si="31"/>
        <v>0</v>
      </c>
      <c r="L104" s="9">
        <f t="shared" si="31"/>
        <v>0</v>
      </c>
      <c r="M104" s="9">
        <f t="shared" si="31"/>
        <v>0</v>
      </c>
      <c r="N104" s="9">
        <f t="shared" si="31"/>
        <v>0</v>
      </c>
      <c r="O104" s="9">
        <f>SUM(O89:O103)</f>
        <v>0</v>
      </c>
      <c r="P104" s="9">
        <f t="shared" si="31"/>
        <v>0</v>
      </c>
      <c r="Q104" s="9">
        <f t="shared" si="31"/>
        <v>0</v>
      </c>
      <c r="R104" s="9">
        <f t="shared" si="31"/>
        <v>0</v>
      </c>
      <c r="S104" s="9">
        <f t="shared" si="31"/>
        <v>0</v>
      </c>
      <c r="T104" s="9">
        <f t="shared" si="31"/>
        <v>0</v>
      </c>
      <c r="U104" s="9">
        <f t="shared" si="31"/>
        <v>0</v>
      </c>
      <c r="V104" s="9">
        <f t="shared" si="31"/>
        <v>0</v>
      </c>
      <c r="W104" s="9">
        <f t="shared" si="31"/>
        <v>0</v>
      </c>
      <c r="X104" s="9">
        <f t="shared" si="31"/>
        <v>0</v>
      </c>
      <c r="Y104" s="9">
        <f t="shared" si="31"/>
        <v>0</v>
      </c>
      <c r="Z104" s="9">
        <f t="shared" si="31"/>
        <v>0</v>
      </c>
      <c r="AA104" s="9">
        <f t="shared" si="31"/>
        <v>0</v>
      </c>
      <c r="AB104" s="9">
        <f t="shared" si="31"/>
        <v>0</v>
      </c>
      <c r="AC104" s="9">
        <f t="shared" si="31"/>
        <v>0</v>
      </c>
      <c r="AD104" s="9">
        <f t="shared" si="31"/>
        <v>0</v>
      </c>
      <c r="AE104" s="9">
        <f t="shared" si="31"/>
        <v>0</v>
      </c>
      <c r="AF104" s="9">
        <f t="shared" si="31"/>
        <v>0</v>
      </c>
      <c r="AG104" s="9">
        <f t="shared" si="31"/>
        <v>0</v>
      </c>
      <c r="AH104" s="9">
        <f t="shared" si="31"/>
        <v>0</v>
      </c>
      <c r="AI104" s="9">
        <f t="shared" ref="AI104:BK104" si="32">SUM(AI89:AI103)</f>
        <v>0</v>
      </c>
      <c r="AJ104" s="9">
        <f t="shared" si="32"/>
        <v>0</v>
      </c>
      <c r="AK104" s="9">
        <f t="shared" si="32"/>
        <v>0</v>
      </c>
      <c r="AL104" s="9">
        <f t="shared" si="32"/>
        <v>0</v>
      </c>
      <c r="AM104" s="9">
        <f t="shared" si="32"/>
        <v>0</v>
      </c>
      <c r="AN104" s="9">
        <f t="shared" si="32"/>
        <v>0</v>
      </c>
      <c r="AO104" s="9">
        <f t="shared" si="32"/>
        <v>0</v>
      </c>
      <c r="AP104" s="9">
        <f t="shared" si="32"/>
        <v>0</v>
      </c>
      <c r="AQ104" s="9">
        <f t="shared" si="32"/>
        <v>0</v>
      </c>
      <c r="AR104" s="9">
        <f t="shared" si="32"/>
        <v>0</v>
      </c>
      <c r="AS104" s="9">
        <f t="shared" si="32"/>
        <v>0</v>
      </c>
      <c r="AT104" s="9">
        <f t="shared" si="32"/>
        <v>0</v>
      </c>
      <c r="AU104" s="9">
        <f t="shared" si="32"/>
        <v>0</v>
      </c>
      <c r="AV104" s="9">
        <f t="shared" si="32"/>
        <v>0</v>
      </c>
      <c r="AW104" s="9">
        <f t="shared" si="32"/>
        <v>0</v>
      </c>
      <c r="AX104" s="9">
        <f t="shared" si="32"/>
        <v>0</v>
      </c>
      <c r="AY104" s="9">
        <f t="shared" si="32"/>
        <v>0</v>
      </c>
      <c r="AZ104" s="9">
        <f t="shared" si="32"/>
        <v>0</v>
      </c>
      <c r="BA104" s="9">
        <f t="shared" si="32"/>
        <v>0</v>
      </c>
      <c r="BB104" s="9">
        <f t="shared" si="32"/>
        <v>0</v>
      </c>
      <c r="BC104" s="9">
        <f t="shared" si="32"/>
        <v>0</v>
      </c>
      <c r="BD104" s="9">
        <f t="shared" si="32"/>
        <v>0</v>
      </c>
      <c r="BE104" s="9">
        <f t="shared" si="32"/>
        <v>0</v>
      </c>
      <c r="BF104" s="9">
        <f t="shared" si="32"/>
        <v>0</v>
      </c>
      <c r="BG104" s="9">
        <f t="shared" si="32"/>
        <v>0</v>
      </c>
      <c r="BH104" s="9">
        <f t="shared" si="32"/>
        <v>0</v>
      </c>
      <c r="BI104" s="9">
        <f t="shared" si="32"/>
        <v>0</v>
      </c>
      <c r="BJ104" s="9">
        <f t="shared" si="32"/>
        <v>0</v>
      </c>
      <c r="BK104" s="9">
        <f t="shared" si="32"/>
        <v>0</v>
      </c>
      <c r="BL104" s="9">
        <f t="shared" ref="BL104:BM104" si="33">SUM(BL89:BL103)</f>
        <v>0</v>
      </c>
      <c r="BM104" s="9" t="e">
        <f t="shared" si="33"/>
        <v>#DIV/0!</v>
      </c>
      <c r="BN104" s="9" t="e">
        <f t="shared" ref="BN104:BW104" si="34">SUM(BN89:BN103)</f>
        <v>#DIV/0!</v>
      </c>
      <c r="BO104" s="9" t="e">
        <f t="shared" si="34"/>
        <v>#DIV/0!</v>
      </c>
      <c r="BP104" s="9" t="e">
        <f t="shared" si="34"/>
        <v>#DIV/0!</v>
      </c>
      <c r="BQ104" s="9" t="e">
        <f t="shared" si="34"/>
        <v>#DIV/0!</v>
      </c>
      <c r="BR104" s="9" t="e">
        <f t="shared" si="34"/>
        <v>#DIV/0!</v>
      </c>
      <c r="BS104" s="9" t="e">
        <f t="shared" si="34"/>
        <v>#DIV/0!</v>
      </c>
      <c r="BT104" s="9" t="e">
        <f t="shared" si="34"/>
        <v>#DIV/0!</v>
      </c>
      <c r="BU104" s="9" t="e">
        <f t="shared" si="34"/>
        <v>#DIV/0!</v>
      </c>
      <c r="BV104" s="9" t="e">
        <f t="shared" si="34"/>
        <v>#DIV/0!</v>
      </c>
      <c r="BW104" s="9" t="e">
        <f t="shared" si="34"/>
        <v>#DIV/0!</v>
      </c>
    </row>
    <row r="105" spans="1:75" x14ac:dyDescent="0.3"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</row>
    <row r="106" spans="1:75" s="75" customFormat="1" ht="12" x14ac:dyDescent="0.25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</row>
    <row r="107" spans="1:75" s="75" customFormat="1" ht="12" x14ac:dyDescent="0.25">
      <c r="A107" s="76" t="s">
        <v>60</v>
      </c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</row>
    <row r="108" spans="1:75" s="75" customFormat="1" ht="12" x14ac:dyDescent="0.25">
      <c r="A108" s="76" t="s">
        <v>61</v>
      </c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</row>
    <row r="109" spans="1:75" s="75" customFormat="1" ht="12" x14ac:dyDescent="0.25">
      <c r="A109" s="76" t="s">
        <v>130</v>
      </c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</row>
    <row r="110" spans="1:75" s="75" customFormat="1" ht="12" x14ac:dyDescent="0.25">
      <c r="A110" s="76" t="s">
        <v>63</v>
      </c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</row>
    <row r="111" spans="1:75" s="75" customFormat="1" ht="12" x14ac:dyDescent="0.25">
      <c r="A111" s="117" t="s">
        <v>64</v>
      </c>
      <c r="B111" s="117"/>
      <c r="C111" s="117"/>
      <c r="D111" s="117"/>
      <c r="E111" s="117"/>
      <c r="F111" s="117"/>
      <c r="G111" s="117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</row>
  </sheetData>
  <sheetProtection algorithmName="SHA-512" hashValue="+XPLEwuJ1bHIsQq9qe4Shcs6gi3zSzMdRAQyJ0tri8tVbPDKEXPpLijZ30Q1SbHPcOGC7RiLzamtOKt2gR6coQ==" saltValue="ycpLPaWvkS35Z1OsWL7PGA==" spinCount="100000" sheet="1" objects="1" scenarios="1" formatColumns="0"/>
  <mergeCells count="109">
    <mergeCell ref="A9:B9"/>
    <mergeCell ref="A47:B47"/>
    <mergeCell ref="BL49:BW49"/>
    <mergeCell ref="AZ26:BK26"/>
    <mergeCell ref="A7:A8"/>
    <mergeCell ref="D7:O7"/>
    <mergeCell ref="P7:AA7"/>
    <mergeCell ref="AB7:AM7"/>
    <mergeCell ref="P49:AA49"/>
    <mergeCell ref="AB49:AM49"/>
    <mergeCell ref="AN49:AY49"/>
    <mergeCell ref="D49:O49"/>
    <mergeCell ref="B30:B31"/>
    <mergeCell ref="AZ49:BK49"/>
    <mergeCell ref="A49:B50"/>
    <mergeCell ref="AN7:AY7"/>
    <mergeCell ref="AZ7:BK7"/>
    <mergeCell ref="A30:A31"/>
    <mergeCell ref="D30:O30"/>
    <mergeCell ref="P30:AA30"/>
    <mergeCell ref="AB30:AM30"/>
    <mergeCell ref="AN30:AY30"/>
    <mergeCell ref="AZ30:BK30"/>
    <mergeCell ref="A16:B16"/>
    <mergeCell ref="A17:B17"/>
    <mergeCell ref="A10:B10"/>
    <mergeCell ref="A11:B11"/>
    <mergeCell ref="A12:B12"/>
    <mergeCell ref="A13:B13"/>
    <mergeCell ref="A14:B14"/>
    <mergeCell ref="A15:B15"/>
    <mergeCell ref="D26:O26"/>
    <mergeCell ref="A18:B18"/>
    <mergeCell ref="A19:B19"/>
    <mergeCell ref="A20:B20"/>
    <mergeCell ref="A21:B21"/>
    <mergeCell ref="A22:B22"/>
    <mergeCell ref="A23:B23"/>
    <mergeCell ref="A24:B24"/>
    <mergeCell ref="A56:B56"/>
    <mergeCell ref="A87:B88"/>
    <mergeCell ref="A79:B79"/>
    <mergeCell ref="A80:B80"/>
    <mergeCell ref="A81:B81"/>
    <mergeCell ref="A63:B63"/>
    <mergeCell ref="A64:B64"/>
    <mergeCell ref="A65:B65"/>
    <mergeCell ref="A59:B59"/>
    <mergeCell ref="A60:B60"/>
    <mergeCell ref="A61:B61"/>
    <mergeCell ref="A62:B62"/>
    <mergeCell ref="A66:B66"/>
    <mergeCell ref="A57:B57"/>
    <mergeCell ref="A58:B58"/>
    <mergeCell ref="A95:B95"/>
    <mergeCell ref="A96:B96"/>
    <mergeCell ref="A97:B97"/>
    <mergeCell ref="A98:B98"/>
    <mergeCell ref="A99:B99"/>
    <mergeCell ref="A89:B89"/>
    <mergeCell ref="A90:B90"/>
    <mergeCell ref="A91:B91"/>
    <mergeCell ref="A92:B92"/>
    <mergeCell ref="A93:B93"/>
    <mergeCell ref="P26:AA26"/>
    <mergeCell ref="AB26:AM26"/>
    <mergeCell ref="AN26:AY26"/>
    <mergeCell ref="A6:B6"/>
    <mergeCell ref="B1:O4"/>
    <mergeCell ref="B5:O5"/>
    <mergeCell ref="A28:B28"/>
    <mergeCell ref="A26:B27"/>
    <mergeCell ref="A111:G111"/>
    <mergeCell ref="A100:B100"/>
    <mergeCell ref="A101:B101"/>
    <mergeCell ref="A102:B102"/>
    <mergeCell ref="A104:B104"/>
    <mergeCell ref="A103:B103"/>
    <mergeCell ref="D87:O87"/>
    <mergeCell ref="P87:AA87"/>
    <mergeCell ref="AB87:AM87"/>
    <mergeCell ref="AN87:AY87"/>
    <mergeCell ref="A51:B51"/>
    <mergeCell ref="A52:B52"/>
    <mergeCell ref="A53:B53"/>
    <mergeCell ref="A54:B54"/>
    <mergeCell ref="A55:B55"/>
    <mergeCell ref="A94:B94"/>
    <mergeCell ref="BL87:BW87"/>
    <mergeCell ref="D68:O68"/>
    <mergeCell ref="P68:AA68"/>
    <mergeCell ref="AB68:AM68"/>
    <mergeCell ref="AN68:AY68"/>
    <mergeCell ref="AZ68:BK68"/>
    <mergeCell ref="A70:B70"/>
    <mergeCell ref="A71:B71"/>
    <mergeCell ref="A72:B72"/>
    <mergeCell ref="A68:B69"/>
    <mergeCell ref="A84:B84"/>
    <mergeCell ref="A73:B73"/>
    <mergeCell ref="A74:B74"/>
    <mergeCell ref="A75:B75"/>
    <mergeCell ref="A76:B76"/>
    <mergeCell ref="A77:B77"/>
    <mergeCell ref="A78:B78"/>
    <mergeCell ref="A82:B82"/>
    <mergeCell ref="A83:B83"/>
    <mergeCell ref="AZ87:BK87"/>
    <mergeCell ref="A85:B85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BL69"/>
  <sheetViews>
    <sheetView showGridLines="0" topLeftCell="A42" zoomScaleNormal="100" workbookViewId="0">
      <selection activeCell="E52" sqref="E52"/>
    </sheetView>
  </sheetViews>
  <sheetFormatPr baseColWidth="10" defaultColWidth="10.8984375" defaultRowHeight="15.6" x14ac:dyDescent="0.3"/>
  <cols>
    <col min="1" max="1" width="23" customWidth="1"/>
    <col min="2" max="2" width="14" bestFit="1" customWidth="1"/>
    <col min="3" max="57" width="18" customWidth="1"/>
    <col min="58" max="63" width="19" bestFit="1" customWidth="1"/>
  </cols>
  <sheetData>
    <row r="1" spans="1:63" ht="15.9" customHeight="1" x14ac:dyDescent="0.3">
      <c r="D1" s="142" t="str">
        <f>CONCATENATE(INICIO!$B$10," ",INICIO!$B$11)</f>
        <v>TIZA S.A.S</v>
      </c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spans="1:63" ht="15.9" customHeight="1" x14ac:dyDescent="0.3"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</row>
    <row r="3" spans="1:63" ht="15.9" customHeight="1" x14ac:dyDescent="0.3"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</row>
    <row r="4" spans="1:63" ht="15.9" customHeight="1" x14ac:dyDescent="0.3"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</row>
    <row r="5" spans="1:63" x14ac:dyDescent="0.3">
      <c r="D5" s="114" t="s">
        <v>232</v>
      </c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</row>
    <row r="6" spans="1:63" x14ac:dyDescent="0.3"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63" x14ac:dyDescent="0.3">
      <c r="A7" s="137" t="s">
        <v>233</v>
      </c>
      <c r="B7" s="138"/>
      <c r="C7" s="11"/>
      <c r="D7" s="103">
        <f>Año1</f>
        <v>2027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>
        <f>Año2</f>
        <v>2028</v>
      </c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>
        <f>Año3</f>
        <v>2029</v>
      </c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>
        <f>Año4</f>
        <v>2030</v>
      </c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>
        <f>Año5</f>
        <v>2031</v>
      </c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</row>
    <row r="8" spans="1:63" x14ac:dyDescent="0.3">
      <c r="A8" s="139"/>
      <c r="B8" s="140"/>
      <c r="C8" s="11" t="s">
        <v>196</v>
      </c>
      <c r="D8" s="4" t="s">
        <v>67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72</v>
      </c>
      <c r="J8" s="4" t="s">
        <v>73</v>
      </c>
      <c r="K8" s="4" t="s">
        <v>74</v>
      </c>
      <c r="L8" s="4" t="s">
        <v>75</v>
      </c>
      <c r="M8" s="4" t="s">
        <v>76</v>
      </c>
      <c r="N8" s="4" t="s">
        <v>77</v>
      </c>
      <c r="O8" s="4" t="s">
        <v>78</v>
      </c>
      <c r="P8" s="4" t="s">
        <v>79</v>
      </c>
      <c r="Q8" s="4" t="s">
        <v>80</v>
      </c>
      <c r="R8" s="4" t="s">
        <v>81</v>
      </c>
      <c r="S8" s="4" t="s">
        <v>82</v>
      </c>
      <c r="T8" s="4" t="s">
        <v>83</v>
      </c>
      <c r="U8" s="4" t="s">
        <v>84</v>
      </c>
      <c r="V8" s="4" t="s">
        <v>85</v>
      </c>
      <c r="W8" s="4" t="s">
        <v>86</v>
      </c>
      <c r="X8" s="4" t="s">
        <v>87</v>
      </c>
      <c r="Y8" s="4" t="s">
        <v>88</v>
      </c>
      <c r="Z8" s="4" t="s">
        <v>89</v>
      </c>
      <c r="AA8" s="4" t="s">
        <v>90</v>
      </c>
      <c r="AB8" s="4" t="s">
        <v>91</v>
      </c>
      <c r="AC8" s="4" t="s">
        <v>92</v>
      </c>
      <c r="AD8" s="4" t="s">
        <v>93</v>
      </c>
      <c r="AE8" s="4" t="s">
        <v>94</v>
      </c>
      <c r="AF8" s="4" t="s">
        <v>95</v>
      </c>
      <c r="AG8" s="4" t="s">
        <v>96</v>
      </c>
      <c r="AH8" s="4" t="s">
        <v>97</v>
      </c>
      <c r="AI8" s="4" t="s">
        <v>98</v>
      </c>
      <c r="AJ8" s="4" t="s">
        <v>99</v>
      </c>
      <c r="AK8" s="4" t="s">
        <v>100</v>
      </c>
      <c r="AL8" s="4" t="s">
        <v>101</v>
      </c>
      <c r="AM8" s="4" t="s">
        <v>102</v>
      </c>
      <c r="AN8" s="4" t="s">
        <v>103</v>
      </c>
      <c r="AO8" s="4" t="s">
        <v>104</v>
      </c>
      <c r="AP8" s="4" t="s">
        <v>105</v>
      </c>
      <c r="AQ8" s="4" t="s">
        <v>106</v>
      </c>
      <c r="AR8" s="4" t="s">
        <v>107</v>
      </c>
      <c r="AS8" s="4" t="s">
        <v>108</v>
      </c>
      <c r="AT8" s="4" t="s">
        <v>109</v>
      </c>
      <c r="AU8" s="4" t="s">
        <v>110</v>
      </c>
      <c r="AV8" s="4" t="s">
        <v>111</v>
      </c>
      <c r="AW8" s="4" t="s">
        <v>112</v>
      </c>
      <c r="AX8" s="4" t="s">
        <v>113</v>
      </c>
      <c r="AY8" s="4" t="s">
        <v>114</v>
      </c>
      <c r="AZ8" s="4" t="s">
        <v>115</v>
      </c>
      <c r="BA8" s="4" t="s">
        <v>116</v>
      </c>
      <c r="BB8" s="4" t="s">
        <v>117</v>
      </c>
      <c r="BC8" s="4" t="s">
        <v>118</v>
      </c>
      <c r="BD8" s="4" t="s">
        <v>119</v>
      </c>
      <c r="BE8" s="4" t="s">
        <v>120</v>
      </c>
      <c r="BF8" s="4" t="s">
        <v>121</v>
      </c>
      <c r="BG8" s="4" t="s">
        <v>122</v>
      </c>
      <c r="BH8" s="4" t="s">
        <v>123</v>
      </c>
      <c r="BI8" s="4" t="s">
        <v>124</v>
      </c>
      <c r="BJ8" s="4" t="s">
        <v>125</v>
      </c>
      <c r="BK8" s="4" t="s">
        <v>126</v>
      </c>
    </row>
    <row r="9" spans="1:63" x14ac:dyDescent="0.3">
      <c r="A9" s="115" t="s">
        <v>234</v>
      </c>
      <c r="B9" s="116"/>
      <c r="C9" s="36"/>
      <c r="D9" s="37">
        <f>INGRESOS!B30</f>
        <v>400000</v>
      </c>
      <c r="E9" s="37">
        <f>INGRESOS!C30</f>
        <v>600000</v>
      </c>
      <c r="F9" s="37">
        <f>INGRESOS!D30</f>
        <v>880000</v>
      </c>
      <c r="G9" s="37">
        <f>INGRESOS!E30</f>
        <v>1200000</v>
      </c>
      <c r="H9" s="37">
        <f>INGRESOS!F30</f>
        <v>1520000</v>
      </c>
      <c r="I9" s="37">
        <f>INGRESOS!G30</f>
        <v>1800000</v>
      </c>
      <c r="J9" s="37">
        <f>INGRESOS!H30</f>
        <v>2200000</v>
      </c>
      <c r="K9" s="37">
        <f>INGRESOS!I30</f>
        <v>2600000</v>
      </c>
      <c r="L9" s="37">
        <f>INGRESOS!J30</f>
        <v>3000000</v>
      </c>
      <c r="M9" s="37">
        <f>INGRESOS!K30</f>
        <v>3400000</v>
      </c>
      <c r="N9" s="37">
        <f>INGRESOS!L30</f>
        <v>3800000</v>
      </c>
      <c r="O9" s="37">
        <f>INGRESOS!M30</f>
        <v>4400000</v>
      </c>
      <c r="P9" s="37">
        <f>INGRESOS!N30</f>
        <v>5000000</v>
      </c>
      <c r="Q9" s="37">
        <f>INGRESOS!O30</f>
        <v>5800000</v>
      </c>
      <c r="R9" s="37">
        <f>INGRESOS!P30</f>
        <v>6600000</v>
      </c>
      <c r="S9" s="37">
        <f>INGRESOS!Q30</f>
        <v>7400000</v>
      </c>
      <c r="T9" s="37">
        <f>INGRESOS!R30</f>
        <v>8400000</v>
      </c>
      <c r="U9" s="37">
        <f>INGRESOS!S30</f>
        <v>9400000</v>
      </c>
      <c r="V9" s="37">
        <f>INGRESOS!T30</f>
        <v>10400000</v>
      </c>
      <c r="W9" s="37">
        <f>INGRESOS!U30</f>
        <v>11600000</v>
      </c>
      <c r="X9" s="37">
        <f>INGRESOS!V30</f>
        <v>12800000</v>
      </c>
      <c r="Y9" s="37">
        <f>INGRESOS!W30</f>
        <v>14000000</v>
      </c>
      <c r="Z9" s="37">
        <f>INGRESOS!X30</f>
        <v>15200000</v>
      </c>
      <c r="AA9" s="37">
        <f>INGRESOS!Y30</f>
        <v>16800000</v>
      </c>
      <c r="AB9" s="37">
        <f>INGRESOS!Z30</f>
        <v>18400000</v>
      </c>
      <c r="AC9" s="37">
        <f>INGRESOS!AA30</f>
        <v>20000000</v>
      </c>
      <c r="AD9" s="37">
        <f>INGRESOS!AB30</f>
        <v>21800000</v>
      </c>
      <c r="AE9" s="37">
        <f>INGRESOS!AC30</f>
        <v>23600000</v>
      </c>
      <c r="AF9" s="37">
        <f>INGRESOS!AD30</f>
        <v>25600000</v>
      </c>
      <c r="AG9" s="37">
        <f>INGRESOS!AE30</f>
        <v>27600000</v>
      </c>
      <c r="AH9" s="37">
        <f>INGRESOS!AF30</f>
        <v>29800000</v>
      </c>
      <c r="AI9" s="37">
        <f>INGRESOS!AG30</f>
        <v>32000000</v>
      </c>
      <c r="AJ9" s="37">
        <f>INGRESOS!AH30</f>
        <v>34400000</v>
      </c>
      <c r="AK9" s="37">
        <f>INGRESOS!AI30</f>
        <v>36800000</v>
      </c>
      <c r="AL9" s="37">
        <f>INGRESOS!AJ30</f>
        <v>39200000</v>
      </c>
      <c r="AM9" s="37">
        <f>INGRESOS!AK30</f>
        <v>42000000</v>
      </c>
      <c r="AN9" s="37">
        <f>INGRESOS!AL30</f>
        <v>44800000</v>
      </c>
      <c r="AO9" s="37">
        <f>INGRESOS!AM30</f>
        <v>47600000</v>
      </c>
      <c r="AP9" s="37">
        <f>INGRESOS!AN30</f>
        <v>50400000</v>
      </c>
      <c r="AQ9" s="37">
        <f>INGRESOS!AO30</f>
        <v>53600000</v>
      </c>
      <c r="AR9" s="37">
        <f>INGRESOS!AP30</f>
        <v>56800000</v>
      </c>
      <c r="AS9" s="37">
        <f>INGRESOS!AQ30</f>
        <v>60000000</v>
      </c>
      <c r="AT9" s="37">
        <f>INGRESOS!AR30</f>
        <v>63200000</v>
      </c>
      <c r="AU9" s="37">
        <f>INGRESOS!AS30</f>
        <v>66400000</v>
      </c>
      <c r="AV9" s="37">
        <f>INGRESOS!AT30</f>
        <v>69600000</v>
      </c>
      <c r="AW9" s="37">
        <f>INGRESOS!AU30</f>
        <v>73200000</v>
      </c>
      <c r="AX9" s="37">
        <f>INGRESOS!AV30</f>
        <v>76800000</v>
      </c>
      <c r="AY9" s="37">
        <f>INGRESOS!AW30</f>
        <v>80800000</v>
      </c>
      <c r="AZ9" s="37">
        <f>INGRESOS!AX30</f>
        <v>84800000</v>
      </c>
      <c r="BA9" s="37">
        <f>INGRESOS!AY30</f>
        <v>0</v>
      </c>
      <c r="BB9" s="37">
        <f>INGRESOS!AZ30</f>
        <v>0</v>
      </c>
      <c r="BC9" s="37">
        <f>INGRESOS!BA30</f>
        <v>0</v>
      </c>
      <c r="BD9" s="37">
        <f>INGRESOS!BB30</f>
        <v>0</v>
      </c>
      <c r="BE9" s="37">
        <f>INGRESOS!BC30</f>
        <v>0</v>
      </c>
      <c r="BF9" s="37">
        <f>INGRESOS!BD30</f>
        <v>0</v>
      </c>
      <c r="BG9" s="37">
        <f>INGRESOS!BE30</f>
        <v>0</v>
      </c>
      <c r="BH9" s="37">
        <f>INGRESOS!BF30</f>
        <v>0</v>
      </c>
      <c r="BI9" s="37">
        <f>INGRESOS!BG30</f>
        <v>0</v>
      </c>
      <c r="BJ9" s="37">
        <f>INGRESOS!BH30</f>
        <v>0</v>
      </c>
      <c r="BK9" s="37">
        <f>INGRESOS!BI30</f>
        <v>0</v>
      </c>
    </row>
    <row r="10" spans="1:63" x14ac:dyDescent="0.3">
      <c r="A10" s="115" t="s">
        <v>235</v>
      </c>
      <c r="B10" s="116"/>
      <c r="C10" s="36"/>
      <c r="D10" s="37">
        <f>COSTOS!B65</f>
        <v>5612170.333333333</v>
      </c>
      <c r="E10" s="37">
        <f>COSTOS!C65</f>
        <v>5615490.333333333</v>
      </c>
      <c r="F10" s="37">
        <f>COSTOS!D65</f>
        <v>5620138.333333333</v>
      </c>
      <c r="G10" s="37">
        <f>COSTOS!E65</f>
        <v>5625450.333333333</v>
      </c>
      <c r="H10" s="37">
        <f>COSTOS!F65</f>
        <v>5630762.333333333</v>
      </c>
      <c r="I10" s="37">
        <f>COSTOS!G65</f>
        <v>5635410.333333333</v>
      </c>
      <c r="J10" s="37">
        <f>COSTOS!H65</f>
        <v>5745800.333333333</v>
      </c>
      <c r="K10" s="37">
        <f>COSTOS!I65</f>
        <v>5752440.333333333</v>
      </c>
      <c r="L10" s="37">
        <f>COSTOS!J65</f>
        <v>5759080.333333333</v>
      </c>
      <c r="M10" s="37">
        <f>COSTOS!K65</f>
        <v>5765720.333333333</v>
      </c>
      <c r="N10" s="37">
        <f>COSTOS!L65</f>
        <v>5772360.333333333</v>
      </c>
      <c r="O10" s="37">
        <f>COSTOS!M65</f>
        <v>5782320.333333333</v>
      </c>
      <c r="P10" s="37">
        <f>COSTOS!N65</f>
        <v>11867447.333333332</v>
      </c>
      <c r="Q10" s="37">
        <f>COSTOS!O65</f>
        <v>11881143.333333332</v>
      </c>
      <c r="R10" s="37">
        <f>COSTOS!P65</f>
        <v>11894839.333333332</v>
      </c>
      <c r="S10" s="37">
        <f>COSTOS!Q65</f>
        <v>11908535.333333332</v>
      </c>
      <c r="T10" s="37">
        <f>COSTOS!R65</f>
        <v>11925655.333333332</v>
      </c>
      <c r="U10" s="37">
        <f>COSTOS!S65</f>
        <v>11942775.333333332</v>
      </c>
      <c r="V10" s="37">
        <f>COSTOS!T65</f>
        <v>11959895.333333332</v>
      </c>
      <c r="W10" s="37">
        <f>COSTOS!U65</f>
        <v>11980439.333333332</v>
      </c>
      <c r="X10" s="37">
        <f>COSTOS!V65</f>
        <v>12000983.333333332</v>
      </c>
      <c r="Y10" s="37">
        <f>COSTOS!W65</f>
        <v>12021527.333333332</v>
      </c>
      <c r="Z10" s="37">
        <f>COSTOS!X65</f>
        <v>12042071.333333332</v>
      </c>
      <c r="AA10" s="37">
        <f>COSTOS!Y65</f>
        <v>12069463.333333332</v>
      </c>
      <c r="AB10" s="37">
        <f>COSTOS!Z65</f>
        <v>20974292.666666664</v>
      </c>
      <c r="AC10" s="37">
        <f>COSTOS!AA65</f>
        <v>21002516.666666664</v>
      </c>
      <c r="AD10" s="37">
        <f>COSTOS!AB65</f>
        <v>21034268.666666664</v>
      </c>
      <c r="AE10" s="37">
        <f>COSTOS!AC65</f>
        <v>21066020.666666664</v>
      </c>
      <c r="AF10" s="37">
        <f>COSTOS!AD65</f>
        <v>21101300.666666664</v>
      </c>
      <c r="AG10" s="37">
        <f>COSTOS!AE65</f>
        <v>21136580.666666664</v>
      </c>
      <c r="AH10" s="37">
        <f>COSTOS!AF65</f>
        <v>21175388.666666664</v>
      </c>
      <c r="AI10" s="37">
        <f>COSTOS!AG65</f>
        <v>21214196.666666664</v>
      </c>
      <c r="AJ10" s="37">
        <f>COSTOS!AH65</f>
        <v>21256532.666666664</v>
      </c>
      <c r="AK10" s="37">
        <f>COSTOS!AI65</f>
        <v>21298868.666666664</v>
      </c>
      <c r="AL10" s="37">
        <f>COSTOS!AJ65</f>
        <v>21341204.666666664</v>
      </c>
      <c r="AM10" s="37">
        <f>COSTOS!AK65</f>
        <v>21390596.666666664</v>
      </c>
      <c r="AN10" s="37">
        <f>COSTOS!AL65</f>
        <v>33593507.333333328</v>
      </c>
      <c r="AO10" s="37">
        <f>COSTOS!AM65</f>
        <v>33642899.333333328</v>
      </c>
      <c r="AP10" s="37">
        <f>COSTOS!AN65</f>
        <v>33692291.333333328</v>
      </c>
      <c r="AQ10" s="37">
        <f>COSTOS!AO65</f>
        <v>33748739.333333328</v>
      </c>
      <c r="AR10" s="37">
        <f>COSTOS!AP65</f>
        <v>33805187.333333328</v>
      </c>
      <c r="AS10" s="37">
        <f>COSTOS!AQ65</f>
        <v>33861635.333333328</v>
      </c>
      <c r="AT10" s="37">
        <f>COSTOS!AR65</f>
        <v>33918083.333333328</v>
      </c>
      <c r="AU10" s="37">
        <f>COSTOS!AS65</f>
        <v>33974531.333333328</v>
      </c>
      <c r="AV10" s="37">
        <f>COSTOS!AT65</f>
        <v>34030979.333333328</v>
      </c>
      <c r="AW10" s="37">
        <f>COSTOS!AU65</f>
        <v>34094483.333333328</v>
      </c>
      <c r="AX10" s="37">
        <f>COSTOS!AV65</f>
        <v>34157987.333333328</v>
      </c>
      <c r="AY10" s="37">
        <f>COSTOS!AW65</f>
        <v>34228547.333333328</v>
      </c>
      <c r="AZ10" s="37">
        <f>COSTOS!AX65</f>
        <v>34328707.333333328</v>
      </c>
      <c r="BA10" s="37">
        <f>COSTOS!AY65</f>
        <v>0</v>
      </c>
      <c r="BB10" s="37">
        <f>COSTOS!AZ65</f>
        <v>0</v>
      </c>
      <c r="BC10" s="37">
        <f>COSTOS!BA65</f>
        <v>0</v>
      </c>
      <c r="BD10" s="37">
        <f>COSTOS!BB65</f>
        <v>0</v>
      </c>
      <c r="BE10" s="37">
        <f>COSTOS!BC65</f>
        <v>0</v>
      </c>
      <c r="BF10" s="37">
        <f>COSTOS!BD65</f>
        <v>0</v>
      </c>
      <c r="BG10" s="37">
        <f>COSTOS!BE65</f>
        <v>0</v>
      </c>
      <c r="BH10" s="37">
        <f>COSTOS!BF65</f>
        <v>0</v>
      </c>
      <c r="BI10" s="37">
        <f>COSTOS!BG65</f>
        <v>0</v>
      </c>
      <c r="BJ10" s="37">
        <f>COSTOS!BH65</f>
        <v>0</v>
      </c>
      <c r="BK10" s="37">
        <f>COSTOS!BI65</f>
        <v>0</v>
      </c>
    </row>
    <row r="11" spans="1:63" x14ac:dyDescent="0.3">
      <c r="A11" s="115" t="s">
        <v>236</v>
      </c>
      <c r="B11" s="116"/>
      <c r="C11" s="37">
        <f>C9-C10</f>
        <v>0</v>
      </c>
      <c r="D11" s="37">
        <f>D9-D10</f>
        <v>-5212170.333333333</v>
      </c>
      <c r="E11" s="37">
        <f t="shared" ref="E11:BK11" si="0">E9-E10</f>
        <v>-5015490.333333333</v>
      </c>
      <c r="F11" s="37">
        <f t="shared" si="0"/>
        <v>-4740138.333333333</v>
      </c>
      <c r="G11" s="37">
        <f t="shared" si="0"/>
        <v>-4425450.333333333</v>
      </c>
      <c r="H11" s="37">
        <f t="shared" si="0"/>
        <v>-4110762.333333333</v>
      </c>
      <c r="I11" s="37">
        <f t="shared" si="0"/>
        <v>-3835410.333333333</v>
      </c>
      <c r="J11" s="37">
        <f t="shared" si="0"/>
        <v>-3545800.333333333</v>
      </c>
      <c r="K11" s="37">
        <f t="shared" si="0"/>
        <v>-3152440.333333333</v>
      </c>
      <c r="L11" s="37">
        <f t="shared" si="0"/>
        <v>-2759080.333333333</v>
      </c>
      <c r="M11" s="37">
        <f t="shared" si="0"/>
        <v>-2365720.333333333</v>
      </c>
      <c r="N11" s="37">
        <f t="shared" si="0"/>
        <v>-1972360.333333333</v>
      </c>
      <c r="O11" s="37">
        <f t="shared" si="0"/>
        <v>-1382320.333333333</v>
      </c>
      <c r="P11" s="37">
        <f t="shared" si="0"/>
        <v>-6867447.3333333321</v>
      </c>
      <c r="Q11" s="37">
        <f t="shared" si="0"/>
        <v>-6081143.3333333321</v>
      </c>
      <c r="R11" s="37">
        <f t="shared" si="0"/>
        <v>-5294839.3333333321</v>
      </c>
      <c r="S11" s="37">
        <f t="shared" si="0"/>
        <v>-4508535.3333333321</v>
      </c>
      <c r="T11" s="37">
        <f t="shared" si="0"/>
        <v>-3525655.3333333321</v>
      </c>
      <c r="U11" s="37">
        <f t="shared" si="0"/>
        <v>-2542775.3333333321</v>
      </c>
      <c r="V11" s="37">
        <f t="shared" si="0"/>
        <v>-1559895.3333333321</v>
      </c>
      <c r="W11" s="37">
        <f t="shared" si="0"/>
        <v>-380439.33333333209</v>
      </c>
      <c r="X11" s="37">
        <f t="shared" si="0"/>
        <v>799016.66666666791</v>
      </c>
      <c r="Y11" s="37">
        <f t="shared" si="0"/>
        <v>1978472.6666666679</v>
      </c>
      <c r="Z11" s="37">
        <f t="shared" si="0"/>
        <v>3157928.6666666679</v>
      </c>
      <c r="AA11" s="37">
        <f t="shared" si="0"/>
        <v>4730536.6666666679</v>
      </c>
      <c r="AB11" s="37">
        <f t="shared" si="0"/>
        <v>-2574292.6666666642</v>
      </c>
      <c r="AC11" s="37">
        <f t="shared" si="0"/>
        <v>-1002516.6666666642</v>
      </c>
      <c r="AD11" s="37">
        <f t="shared" si="0"/>
        <v>765731.33333333582</v>
      </c>
      <c r="AE11" s="37">
        <f t="shared" si="0"/>
        <v>2533979.3333333358</v>
      </c>
      <c r="AF11" s="37">
        <f t="shared" si="0"/>
        <v>4498699.3333333358</v>
      </c>
      <c r="AG11" s="37">
        <f t="shared" si="0"/>
        <v>6463419.3333333358</v>
      </c>
      <c r="AH11" s="37">
        <f t="shared" si="0"/>
        <v>8624611.3333333358</v>
      </c>
      <c r="AI11" s="37">
        <f t="shared" si="0"/>
        <v>10785803.333333336</v>
      </c>
      <c r="AJ11" s="37">
        <f t="shared" si="0"/>
        <v>13143467.333333336</v>
      </c>
      <c r="AK11" s="37">
        <f t="shared" si="0"/>
        <v>15501131.333333336</v>
      </c>
      <c r="AL11" s="37">
        <f t="shared" si="0"/>
        <v>17858795.333333336</v>
      </c>
      <c r="AM11" s="37">
        <f t="shared" si="0"/>
        <v>20609403.333333336</v>
      </c>
      <c r="AN11" s="37">
        <f t="shared" si="0"/>
        <v>11206492.666666672</v>
      </c>
      <c r="AO11" s="37">
        <f t="shared" si="0"/>
        <v>13957100.666666672</v>
      </c>
      <c r="AP11" s="37">
        <f t="shared" si="0"/>
        <v>16707708.666666672</v>
      </c>
      <c r="AQ11" s="37">
        <f t="shared" si="0"/>
        <v>19851260.666666672</v>
      </c>
      <c r="AR11" s="37">
        <f t="shared" si="0"/>
        <v>22994812.666666672</v>
      </c>
      <c r="AS11" s="37">
        <f t="shared" si="0"/>
        <v>26138364.666666672</v>
      </c>
      <c r="AT11" s="37">
        <f t="shared" si="0"/>
        <v>29281916.666666672</v>
      </c>
      <c r="AU11" s="37">
        <f t="shared" si="0"/>
        <v>32425468.666666672</v>
      </c>
      <c r="AV11" s="37">
        <f t="shared" si="0"/>
        <v>35569020.666666672</v>
      </c>
      <c r="AW11" s="37">
        <f t="shared" si="0"/>
        <v>39105516.666666672</v>
      </c>
      <c r="AX11" s="37">
        <f t="shared" si="0"/>
        <v>42642012.666666672</v>
      </c>
      <c r="AY11" s="37">
        <f t="shared" si="0"/>
        <v>46571452.666666672</v>
      </c>
      <c r="AZ11" s="37">
        <f t="shared" si="0"/>
        <v>50471292.666666672</v>
      </c>
      <c r="BA11" s="37">
        <f t="shared" si="0"/>
        <v>0</v>
      </c>
      <c r="BB11" s="37">
        <f t="shared" si="0"/>
        <v>0</v>
      </c>
      <c r="BC11" s="37">
        <f t="shared" si="0"/>
        <v>0</v>
      </c>
      <c r="BD11" s="37">
        <f t="shared" si="0"/>
        <v>0</v>
      </c>
      <c r="BE11" s="37">
        <f t="shared" si="0"/>
        <v>0</v>
      </c>
      <c r="BF11" s="37">
        <f t="shared" si="0"/>
        <v>0</v>
      </c>
      <c r="BG11" s="37">
        <f t="shared" si="0"/>
        <v>0</v>
      </c>
      <c r="BH11" s="37">
        <f t="shared" si="0"/>
        <v>0</v>
      </c>
      <c r="BI11" s="37">
        <f t="shared" si="0"/>
        <v>0</v>
      </c>
      <c r="BJ11" s="37">
        <f t="shared" si="0"/>
        <v>0</v>
      </c>
      <c r="BK11" s="37">
        <f t="shared" si="0"/>
        <v>0</v>
      </c>
    </row>
    <row r="12" spans="1:63" x14ac:dyDescent="0.3">
      <c r="A12" s="115" t="s">
        <v>237</v>
      </c>
      <c r="B12" s="116"/>
      <c r="C12" s="37"/>
      <c r="D12" s="37">
        <f>GASTOS!B77</f>
        <v>317000</v>
      </c>
      <c r="E12" s="37">
        <f>GASTOS!C77</f>
        <v>317000</v>
      </c>
      <c r="F12" s="37">
        <f>GASTOS!D77</f>
        <v>317000</v>
      </c>
      <c r="G12" s="37">
        <f>GASTOS!E77</f>
        <v>317000</v>
      </c>
      <c r="H12" s="37">
        <f>GASTOS!F77</f>
        <v>317000</v>
      </c>
      <c r="I12" s="37">
        <f>GASTOS!G77</f>
        <v>317000</v>
      </c>
      <c r="J12" s="37">
        <f>GASTOS!H77</f>
        <v>317000</v>
      </c>
      <c r="K12" s="37">
        <f>GASTOS!I77</f>
        <v>317000</v>
      </c>
      <c r="L12" s="37">
        <f>GASTOS!J77</f>
        <v>317000</v>
      </c>
      <c r="M12" s="37">
        <f>GASTOS!K77</f>
        <v>317000</v>
      </c>
      <c r="N12" s="37">
        <f>GASTOS!L77</f>
        <v>317000</v>
      </c>
      <c r="O12" s="37">
        <f>GASTOS!M77</f>
        <v>317000</v>
      </c>
      <c r="P12" s="37">
        <f>GASTOS!N77</f>
        <v>4948266.666666666</v>
      </c>
      <c r="Q12" s="37">
        <f>GASTOS!O77</f>
        <v>4948266.666666666</v>
      </c>
      <c r="R12" s="37">
        <f>GASTOS!P77</f>
        <v>4948266.666666666</v>
      </c>
      <c r="S12" s="37">
        <f>GASTOS!Q77</f>
        <v>4948266.666666666</v>
      </c>
      <c r="T12" s="37">
        <f>GASTOS!R77</f>
        <v>4948266.666666666</v>
      </c>
      <c r="U12" s="37">
        <f>GASTOS!S77</f>
        <v>4948266.666666666</v>
      </c>
      <c r="V12" s="37">
        <f>GASTOS!T77</f>
        <v>4948266.666666666</v>
      </c>
      <c r="W12" s="37">
        <f>GASTOS!U77</f>
        <v>4948266.666666666</v>
      </c>
      <c r="X12" s="37">
        <f>GASTOS!V77</f>
        <v>4948266.666666666</v>
      </c>
      <c r="Y12" s="37">
        <f>GASTOS!W77</f>
        <v>4948266.666666666</v>
      </c>
      <c r="Z12" s="37">
        <f>GASTOS!X77</f>
        <v>4948266.666666666</v>
      </c>
      <c r="AA12" s="37">
        <f>GASTOS!Y77</f>
        <v>4948266.666666666</v>
      </c>
      <c r="AB12" s="37">
        <f>GASTOS!Z77</f>
        <v>9011656</v>
      </c>
      <c r="AC12" s="37">
        <f>GASTOS!AA77</f>
        <v>9011656</v>
      </c>
      <c r="AD12" s="37">
        <f>GASTOS!AB77</f>
        <v>9011656</v>
      </c>
      <c r="AE12" s="37">
        <f>GASTOS!AC77</f>
        <v>9011656</v>
      </c>
      <c r="AF12" s="37">
        <f>GASTOS!AD77</f>
        <v>9011656</v>
      </c>
      <c r="AG12" s="37">
        <f>GASTOS!AE77</f>
        <v>9011656</v>
      </c>
      <c r="AH12" s="37">
        <f>GASTOS!AF77</f>
        <v>9011656</v>
      </c>
      <c r="AI12" s="37">
        <f>GASTOS!AG77</f>
        <v>9011656</v>
      </c>
      <c r="AJ12" s="37">
        <f>GASTOS!AH77</f>
        <v>9011656</v>
      </c>
      <c r="AK12" s="37">
        <f>GASTOS!AI77</f>
        <v>9011656</v>
      </c>
      <c r="AL12" s="37">
        <f>GASTOS!AJ77</f>
        <v>9011656</v>
      </c>
      <c r="AM12" s="37">
        <f>GASTOS!AK77</f>
        <v>9011656</v>
      </c>
      <c r="AN12" s="37">
        <f>GASTOS!AL77</f>
        <v>9828333.3333333321</v>
      </c>
      <c r="AO12" s="37">
        <f>GASTOS!AM77</f>
        <v>9828333.3333333321</v>
      </c>
      <c r="AP12" s="37">
        <f>GASTOS!AN77</f>
        <v>9828333.3333333321</v>
      </c>
      <c r="AQ12" s="37">
        <f>GASTOS!AO77</f>
        <v>9828333.3333333321</v>
      </c>
      <c r="AR12" s="37">
        <f>GASTOS!AP77</f>
        <v>9828333.3333333321</v>
      </c>
      <c r="AS12" s="37">
        <f>GASTOS!AQ77</f>
        <v>9828333.3333333321</v>
      </c>
      <c r="AT12" s="37">
        <f>GASTOS!AR77</f>
        <v>9828333.3333333321</v>
      </c>
      <c r="AU12" s="37">
        <f>GASTOS!AS77</f>
        <v>9828333.3333333321</v>
      </c>
      <c r="AV12" s="37">
        <f>GASTOS!AT77</f>
        <v>9828333.3333333321</v>
      </c>
      <c r="AW12" s="37">
        <f>GASTOS!AU77</f>
        <v>9828333.3333333321</v>
      </c>
      <c r="AX12" s="37">
        <f>GASTOS!AV77</f>
        <v>9828333.3333333321</v>
      </c>
      <c r="AY12" s="37">
        <f>GASTOS!AW77</f>
        <v>9828333.3333333321</v>
      </c>
      <c r="AZ12" s="37">
        <f>GASTOS!AX77</f>
        <v>10253133.333333332</v>
      </c>
      <c r="BA12" s="37">
        <f>GASTOS!AY77</f>
        <v>0</v>
      </c>
      <c r="BB12" s="37">
        <f>GASTOS!AZ77</f>
        <v>0</v>
      </c>
      <c r="BC12" s="37">
        <f>GASTOS!BA77</f>
        <v>0</v>
      </c>
      <c r="BD12" s="37">
        <f>GASTOS!BB77</f>
        <v>0</v>
      </c>
      <c r="BE12" s="37">
        <f>GASTOS!BC77</f>
        <v>0</v>
      </c>
      <c r="BF12" s="37">
        <f>GASTOS!BD77</f>
        <v>0</v>
      </c>
      <c r="BG12" s="37">
        <f>GASTOS!BE77</f>
        <v>0</v>
      </c>
      <c r="BH12" s="37">
        <f>GASTOS!BF77</f>
        <v>0</v>
      </c>
      <c r="BI12" s="37">
        <f>GASTOS!BG77</f>
        <v>0</v>
      </c>
      <c r="BJ12" s="37">
        <f>GASTOS!BH77</f>
        <v>0</v>
      </c>
      <c r="BK12" s="37">
        <f>GASTOS!BI77</f>
        <v>0</v>
      </c>
    </row>
    <row r="13" spans="1:63" x14ac:dyDescent="0.3">
      <c r="A13" s="38" t="s">
        <v>238</v>
      </c>
      <c r="B13" s="39"/>
      <c r="C13" s="37">
        <f>INICIO!B65</f>
        <v>2382000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>
        <f>INICIO!C65</f>
        <v>0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>
        <f>INICIO!D65</f>
        <v>0</v>
      </c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>
        <f>INICIO!E65</f>
        <v>0</v>
      </c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>
        <f>INICIO!F65</f>
        <v>0</v>
      </c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>
        <f>INICIO!G65</f>
        <v>0</v>
      </c>
    </row>
    <row r="14" spans="1:63" x14ac:dyDescent="0.3">
      <c r="A14" s="115" t="s">
        <v>239</v>
      </c>
      <c r="B14" s="116"/>
      <c r="C14" s="36"/>
      <c r="D14" s="37">
        <f>INVERSIONES!C67</f>
        <v>0</v>
      </c>
      <c r="E14" s="37">
        <f>INVERSIONES!D67</f>
        <v>0</v>
      </c>
      <c r="F14" s="37">
        <f>INVERSIONES!E67</f>
        <v>0</v>
      </c>
      <c r="G14" s="37">
        <f>INVERSIONES!F67</f>
        <v>0</v>
      </c>
      <c r="H14" s="37">
        <f>INVERSIONES!G67</f>
        <v>0</v>
      </c>
      <c r="I14" s="37">
        <f>INVERSIONES!H67</f>
        <v>0</v>
      </c>
      <c r="J14" s="37">
        <f>INVERSIONES!I67</f>
        <v>0</v>
      </c>
      <c r="K14" s="37">
        <f>INVERSIONES!J67</f>
        <v>0</v>
      </c>
      <c r="L14" s="37">
        <f>INVERSIONES!K67</f>
        <v>0</v>
      </c>
      <c r="M14" s="37">
        <f>INVERSIONES!L67</f>
        <v>0</v>
      </c>
      <c r="N14" s="37">
        <f>INVERSIONES!M67</f>
        <v>0</v>
      </c>
      <c r="O14" s="37">
        <f>INVERSIONES!N67</f>
        <v>0</v>
      </c>
      <c r="P14" s="37">
        <f>INVERSIONES!O67</f>
        <v>0</v>
      </c>
      <c r="Q14" s="37">
        <f>INVERSIONES!P67</f>
        <v>0</v>
      </c>
      <c r="R14" s="37">
        <f>INVERSIONES!Q67</f>
        <v>0</v>
      </c>
      <c r="S14" s="37">
        <f>INVERSIONES!R67</f>
        <v>0</v>
      </c>
      <c r="T14" s="37">
        <f>INVERSIONES!S67</f>
        <v>0</v>
      </c>
      <c r="U14" s="37">
        <f>INVERSIONES!T67</f>
        <v>0</v>
      </c>
      <c r="V14" s="37">
        <f>INVERSIONES!U67</f>
        <v>0</v>
      </c>
      <c r="W14" s="37">
        <f>INVERSIONES!V67</f>
        <v>0</v>
      </c>
      <c r="X14" s="37">
        <f>INVERSIONES!W67</f>
        <v>0</v>
      </c>
      <c r="Y14" s="37">
        <f>INVERSIONES!X67</f>
        <v>0</v>
      </c>
      <c r="Z14" s="37">
        <f>INVERSIONES!Y67</f>
        <v>0</v>
      </c>
      <c r="AA14" s="37">
        <f>INVERSIONES!Z67</f>
        <v>0</v>
      </c>
      <c r="AB14" s="37">
        <f>INVERSIONES!AA67</f>
        <v>0</v>
      </c>
      <c r="AC14" s="37">
        <f>INVERSIONES!AB67</f>
        <v>0</v>
      </c>
      <c r="AD14" s="37">
        <f>INVERSIONES!AC67</f>
        <v>0</v>
      </c>
      <c r="AE14" s="37">
        <f>INVERSIONES!AD67</f>
        <v>0</v>
      </c>
      <c r="AF14" s="37">
        <f>INVERSIONES!AE67</f>
        <v>0</v>
      </c>
      <c r="AG14" s="37">
        <f>INVERSIONES!AF67</f>
        <v>0</v>
      </c>
      <c r="AH14" s="37">
        <f>INVERSIONES!AG67</f>
        <v>0</v>
      </c>
      <c r="AI14" s="37">
        <f>INVERSIONES!AH67</f>
        <v>0</v>
      </c>
      <c r="AJ14" s="37">
        <f>INVERSIONES!AI67</f>
        <v>0</v>
      </c>
      <c r="AK14" s="37">
        <f>INVERSIONES!AJ67</f>
        <v>0</v>
      </c>
      <c r="AL14" s="37">
        <f>INVERSIONES!AK67</f>
        <v>0</v>
      </c>
      <c r="AM14" s="37">
        <f>INVERSIONES!AL67</f>
        <v>0</v>
      </c>
      <c r="AN14" s="37">
        <f>INVERSIONES!AM67</f>
        <v>0</v>
      </c>
      <c r="AO14" s="37">
        <f>INVERSIONES!AN67</f>
        <v>0</v>
      </c>
      <c r="AP14" s="37">
        <f>INVERSIONES!AO67</f>
        <v>0</v>
      </c>
      <c r="AQ14" s="37">
        <f>INVERSIONES!AP67</f>
        <v>0</v>
      </c>
      <c r="AR14" s="37">
        <f>INVERSIONES!AQ67</f>
        <v>0</v>
      </c>
      <c r="AS14" s="37">
        <f>INVERSIONES!AR67</f>
        <v>0</v>
      </c>
      <c r="AT14" s="37">
        <f>INVERSIONES!AS67</f>
        <v>0</v>
      </c>
      <c r="AU14" s="37">
        <f>INVERSIONES!AT67</f>
        <v>0</v>
      </c>
      <c r="AV14" s="37">
        <f>INVERSIONES!AU67</f>
        <v>0</v>
      </c>
      <c r="AW14" s="37">
        <f>INVERSIONES!AV67</f>
        <v>0</v>
      </c>
      <c r="AX14" s="37">
        <f>INVERSIONES!AW67</f>
        <v>0</v>
      </c>
      <c r="AY14" s="37">
        <f>INVERSIONES!AX67</f>
        <v>0</v>
      </c>
      <c r="AZ14" s="37">
        <f>INVERSIONES!AY67</f>
        <v>0</v>
      </c>
      <c r="BA14" s="37">
        <f>INVERSIONES!AZ67</f>
        <v>0</v>
      </c>
      <c r="BB14" s="37">
        <f>INVERSIONES!BA67</f>
        <v>0</v>
      </c>
      <c r="BC14" s="37">
        <f>INVERSIONES!BB67</f>
        <v>0</v>
      </c>
      <c r="BD14" s="37">
        <f>INVERSIONES!BC67</f>
        <v>0</v>
      </c>
      <c r="BE14" s="37">
        <f>INVERSIONES!BD67</f>
        <v>0</v>
      </c>
      <c r="BF14" s="37">
        <f>INVERSIONES!BE67</f>
        <v>0</v>
      </c>
      <c r="BG14" s="37">
        <f>INVERSIONES!BF67</f>
        <v>0</v>
      </c>
      <c r="BH14" s="37">
        <f>INVERSIONES!BG67</f>
        <v>0</v>
      </c>
      <c r="BI14" s="37">
        <f>INVERSIONES!BH67</f>
        <v>0</v>
      </c>
      <c r="BJ14" s="37">
        <f>INVERSIONES!BI67</f>
        <v>0</v>
      </c>
      <c r="BK14" s="37">
        <f>INVERSIONES!BJ67</f>
        <v>0</v>
      </c>
    </row>
    <row r="15" spans="1:63" x14ac:dyDescent="0.3">
      <c r="A15" s="115" t="s">
        <v>240</v>
      </c>
      <c r="B15" s="116"/>
      <c r="C15" s="37">
        <f>C11-C12-C13-C14</f>
        <v>-2382000</v>
      </c>
      <c r="D15" s="37">
        <f t="shared" ref="D15:BK15" si="1">D11-D12-D13-D14</f>
        <v>-5529170.333333333</v>
      </c>
      <c r="E15" s="37">
        <f t="shared" si="1"/>
        <v>-5332490.333333333</v>
      </c>
      <c r="F15" s="37">
        <f t="shared" si="1"/>
        <v>-5057138.333333333</v>
      </c>
      <c r="G15" s="37">
        <f t="shared" si="1"/>
        <v>-4742450.333333333</v>
      </c>
      <c r="H15" s="37">
        <f t="shared" si="1"/>
        <v>-4427762.333333333</v>
      </c>
      <c r="I15" s="37">
        <f t="shared" si="1"/>
        <v>-4152410.333333333</v>
      </c>
      <c r="J15" s="37">
        <f t="shared" si="1"/>
        <v>-3862800.333333333</v>
      </c>
      <c r="K15" s="37">
        <f t="shared" si="1"/>
        <v>-3469440.333333333</v>
      </c>
      <c r="L15" s="37">
        <f t="shared" si="1"/>
        <v>-3076080.333333333</v>
      </c>
      <c r="M15" s="37">
        <f t="shared" si="1"/>
        <v>-2682720.333333333</v>
      </c>
      <c r="N15" s="37">
        <f t="shared" si="1"/>
        <v>-2289360.333333333</v>
      </c>
      <c r="O15" s="37">
        <f t="shared" si="1"/>
        <v>-1699320.333333333</v>
      </c>
      <c r="P15" s="37">
        <f t="shared" si="1"/>
        <v>-11815713.999999998</v>
      </c>
      <c r="Q15" s="37">
        <f t="shared" si="1"/>
        <v>-11029409.999999998</v>
      </c>
      <c r="R15" s="37">
        <f t="shared" si="1"/>
        <v>-10243105.999999998</v>
      </c>
      <c r="S15" s="37">
        <f t="shared" si="1"/>
        <v>-9456801.9999999981</v>
      </c>
      <c r="T15" s="37">
        <f t="shared" si="1"/>
        <v>-8473921.9999999981</v>
      </c>
      <c r="U15" s="37">
        <f t="shared" si="1"/>
        <v>-7491041.9999999981</v>
      </c>
      <c r="V15" s="37">
        <f t="shared" si="1"/>
        <v>-6508161.9999999981</v>
      </c>
      <c r="W15" s="37">
        <f t="shared" si="1"/>
        <v>-5328705.9999999981</v>
      </c>
      <c r="X15" s="37">
        <f t="shared" si="1"/>
        <v>-4149249.9999999981</v>
      </c>
      <c r="Y15" s="37">
        <f t="shared" si="1"/>
        <v>-2969793.9999999981</v>
      </c>
      <c r="Z15" s="37">
        <f t="shared" si="1"/>
        <v>-1790337.9999999981</v>
      </c>
      <c r="AA15" s="37">
        <f t="shared" si="1"/>
        <v>-217729.99999999814</v>
      </c>
      <c r="AB15" s="37">
        <f t="shared" si="1"/>
        <v>-11585948.666666664</v>
      </c>
      <c r="AC15" s="37">
        <f t="shared" si="1"/>
        <v>-10014172.666666664</v>
      </c>
      <c r="AD15" s="37">
        <f t="shared" si="1"/>
        <v>-8245924.6666666642</v>
      </c>
      <c r="AE15" s="37">
        <f t="shared" si="1"/>
        <v>-6477676.6666666642</v>
      </c>
      <c r="AF15" s="37">
        <f t="shared" si="1"/>
        <v>-4512956.6666666642</v>
      </c>
      <c r="AG15" s="37">
        <f t="shared" si="1"/>
        <v>-2548236.6666666642</v>
      </c>
      <c r="AH15" s="37">
        <f t="shared" si="1"/>
        <v>-387044.66666666418</v>
      </c>
      <c r="AI15" s="37">
        <f t="shared" si="1"/>
        <v>1774147.3333333358</v>
      </c>
      <c r="AJ15" s="37">
        <f t="shared" si="1"/>
        <v>4131811.3333333358</v>
      </c>
      <c r="AK15" s="37">
        <f t="shared" si="1"/>
        <v>6489475.3333333358</v>
      </c>
      <c r="AL15" s="37">
        <f t="shared" si="1"/>
        <v>8847139.3333333358</v>
      </c>
      <c r="AM15" s="37">
        <f t="shared" si="1"/>
        <v>11597747.333333336</v>
      </c>
      <c r="AN15" s="37">
        <f t="shared" si="1"/>
        <v>1378159.3333333395</v>
      </c>
      <c r="AO15" s="37">
        <f t="shared" si="1"/>
        <v>4128767.3333333395</v>
      </c>
      <c r="AP15" s="37">
        <f t="shared" si="1"/>
        <v>6879375.3333333395</v>
      </c>
      <c r="AQ15" s="37">
        <f t="shared" si="1"/>
        <v>10022927.33333334</v>
      </c>
      <c r="AR15" s="37">
        <f t="shared" si="1"/>
        <v>13166479.33333334</v>
      </c>
      <c r="AS15" s="37">
        <f t="shared" si="1"/>
        <v>16310031.33333334</v>
      </c>
      <c r="AT15" s="37">
        <f t="shared" si="1"/>
        <v>19453583.33333334</v>
      </c>
      <c r="AU15" s="37">
        <f t="shared" si="1"/>
        <v>22597135.33333334</v>
      </c>
      <c r="AV15" s="37">
        <f t="shared" si="1"/>
        <v>25740687.33333334</v>
      </c>
      <c r="AW15" s="37">
        <f t="shared" si="1"/>
        <v>29277183.33333334</v>
      </c>
      <c r="AX15" s="37">
        <f t="shared" si="1"/>
        <v>32813679.33333334</v>
      </c>
      <c r="AY15" s="37">
        <f t="shared" si="1"/>
        <v>36743119.333333343</v>
      </c>
      <c r="AZ15" s="37">
        <f t="shared" si="1"/>
        <v>40218159.333333343</v>
      </c>
      <c r="BA15" s="37">
        <f t="shared" si="1"/>
        <v>0</v>
      </c>
      <c r="BB15" s="37">
        <f t="shared" si="1"/>
        <v>0</v>
      </c>
      <c r="BC15" s="37">
        <f t="shared" si="1"/>
        <v>0</v>
      </c>
      <c r="BD15" s="37">
        <f t="shared" si="1"/>
        <v>0</v>
      </c>
      <c r="BE15" s="37">
        <f t="shared" si="1"/>
        <v>0</v>
      </c>
      <c r="BF15" s="37">
        <f t="shared" si="1"/>
        <v>0</v>
      </c>
      <c r="BG15" s="37">
        <f t="shared" si="1"/>
        <v>0</v>
      </c>
      <c r="BH15" s="37">
        <f t="shared" si="1"/>
        <v>0</v>
      </c>
      <c r="BI15" s="37">
        <f t="shared" si="1"/>
        <v>0</v>
      </c>
      <c r="BJ15" s="37">
        <f t="shared" si="1"/>
        <v>0</v>
      </c>
      <c r="BK15" s="37">
        <f t="shared" si="1"/>
        <v>0</v>
      </c>
    </row>
    <row r="16" spans="1:63" x14ac:dyDescent="0.3">
      <c r="A16" s="115" t="s">
        <v>241</v>
      </c>
      <c r="B16" s="116"/>
      <c r="C16" s="37">
        <f>FINANCIACIÓN!C85</f>
        <v>0</v>
      </c>
      <c r="D16" s="37">
        <f>FINANCIACIÓN!D85</f>
        <v>0</v>
      </c>
      <c r="E16" s="37">
        <f>FINANCIACIÓN!E85</f>
        <v>0</v>
      </c>
      <c r="F16" s="37">
        <f>FINANCIACIÓN!F85</f>
        <v>0</v>
      </c>
      <c r="G16" s="37">
        <f>FINANCIACIÓN!G85</f>
        <v>0</v>
      </c>
      <c r="H16" s="37">
        <f>FINANCIACIÓN!H85</f>
        <v>0</v>
      </c>
      <c r="I16" s="37">
        <f>FINANCIACIÓN!I85</f>
        <v>0</v>
      </c>
      <c r="J16" s="37">
        <f>FINANCIACIÓN!J85</f>
        <v>0</v>
      </c>
      <c r="K16" s="37">
        <f>FINANCIACIÓN!K85</f>
        <v>0</v>
      </c>
      <c r="L16" s="37">
        <f>FINANCIACIÓN!L85</f>
        <v>0</v>
      </c>
      <c r="M16" s="37">
        <f>FINANCIACIÓN!M85</f>
        <v>0</v>
      </c>
      <c r="N16" s="37">
        <f>FINANCIACIÓN!N85</f>
        <v>0</v>
      </c>
      <c r="O16" s="37">
        <f>FINANCIACIÓN!O85</f>
        <v>0</v>
      </c>
      <c r="P16" s="37">
        <f>FINANCIACIÓN!P85</f>
        <v>0</v>
      </c>
      <c r="Q16" s="37">
        <f>FINANCIACIÓN!Q85</f>
        <v>0</v>
      </c>
      <c r="R16" s="37">
        <f>FINANCIACIÓN!R85</f>
        <v>0</v>
      </c>
      <c r="S16" s="37">
        <f>FINANCIACIÓN!S85</f>
        <v>0</v>
      </c>
      <c r="T16" s="37">
        <f>FINANCIACIÓN!T85</f>
        <v>0</v>
      </c>
      <c r="U16" s="37">
        <f>FINANCIACIÓN!U85</f>
        <v>0</v>
      </c>
      <c r="V16" s="37">
        <f>FINANCIACIÓN!V85</f>
        <v>0</v>
      </c>
      <c r="W16" s="37">
        <f>FINANCIACIÓN!W85</f>
        <v>0</v>
      </c>
      <c r="X16" s="37">
        <f>FINANCIACIÓN!X85</f>
        <v>0</v>
      </c>
      <c r="Y16" s="37">
        <f>FINANCIACIÓN!Y85</f>
        <v>0</v>
      </c>
      <c r="Z16" s="37">
        <f>FINANCIACIÓN!Z85</f>
        <v>0</v>
      </c>
      <c r="AA16" s="37">
        <f>FINANCIACIÓN!AA85</f>
        <v>0</v>
      </c>
      <c r="AB16" s="37">
        <f>FINANCIACIÓN!AB85</f>
        <v>0</v>
      </c>
      <c r="AC16" s="37">
        <f>FINANCIACIÓN!AC85</f>
        <v>0</v>
      </c>
      <c r="AD16" s="37">
        <f>FINANCIACIÓN!AD85</f>
        <v>0</v>
      </c>
      <c r="AE16" s="37">
        <f>FINANCIACIÓN!AE85</f>
        <v>0</v>
      </c>
      <c r="AF16" s="37">
        <f>FINANCIACIÓN!AF85</f>
        <v>0</v>
      </c>
      <c r="AG16" s="37">
        <f>FINANCIACIÓN!AG85</f>
        <v>0</v>
      </c>
      <c r="AH16" s="37">
        <f>FINANCIACIÓN!AH85</f>
        <v>0</v>
      </c>
      <c r="AI16" s="37">
        <f>FINANCIACIÓN!AI85</f>
        <v>0</v>
      </c>
      <c r="AJ16" s="37">
        <f>FINANCIACIÓN!AJ85</f>
        <v>0</v>
      </c>
      <c r="AK16" s="37">
        <f>FINANCIACIÓN!AK85</f>
        <v>0</v>
      </c>
      <c r="AL16" s="37">
        <f>FINANCIACIÓN!AL85</f>
        <v>0</v>
      </c>
      <c r="AM16" s="37">
        <f>FINANCIACIÓN!AM85</f>
        <v>0</v>
      </c>
      <c r="AN16" s="37">
        <f>FINANCIACIÓN!AN85</f>
        <v>0</v>
      </c>
      <c r="AO16" s="37">
        <f>FINANCIACIÓN!AO85</f>
        <v>0</v>
      </c>
      <c r="AP16" s="37">
        <f>FINANCIACIÓN!AP85</f>
        <v>0</v>
      </c>
      <c r="AQ16" s="37">
        <f>FINANCIACIÓN!AQ85</f>
        <v>0</v>
      </c>
      <c r="AR16" s="37">
        <f>FINANCIACIÓN!AR85</f>
        <v>0</v>
      </c>
      <c r="AS16" s="37">
        <f>FINANCIACIÓN!AS85</f>
        <v>0</v>
      </c>
      <c r="AT16" s="37">
        <f>FINANCIACIÓN!AT85</f>
        <v>0</v>
      </c>
      <c r="AU16" s="37">
        <f>FINANCIACIÓN!AU85</f>
        <v>0</v>
      </c>
      <c r="AV16" s="37">
        <f>FINANCIACIÓN!AV85</f>
        <v>0</v>
      </c>
      <c r="AW16" s="37">
        <f>FINANCIACIÓN!AW85</f>
        <v>0</v>
      </c>
      <c r="AX16" s="37">
        <f>FINANCIACIÓN!AX85</f>
        <v>0</v>
      </c>
      <c r="AY16" s="37">
        <f>FINANCIACIÓN!AY85</f>
        <v>0</v>
      </c>
      <c r="AZ16" s="37">
        <f>FINANCIACIÓN!AZ85</f>
        <v>0</v>
      </c>
      <c r="BA16" s="37">
        <f>FINANCIACIÓN!BA85</f>
        <v>0</v>
      </c>
      <c r="BB16" s="37">
        <f>FINANCIACIÓN!BB85</f>
        <v>0</v>
      </c>
      <c r="BC16" s="37">
        <f>FINANCIACIÓN!BC85</f>
        <v>0</v>
      </c>
      <c r="BD16" s="37">
        <f>FINANCIACIÓN!BD85</f>
        <v>0</v>
      </c>
      <c r="BE16" s="37">
        <f>FINANCIACIÓN!BE85</f>
        <v>0</v>
      </c>
      <c r="BF16" s="37">
        <f>FINANCIACIÓN!BF85</f>
        <v>0</v>
      </c>
      <c r="BG16" s="37">
        <f>FINANCIACIÓN!BG85</f>
        <v>0</v>
      </c>
      <c r="BH16" s="37">
        <f>FINANCIACIÓN!BH85</f>
        <v>0</v>
      </c>
      <c r="BI16" s="37">
        <f>FINANCIACIÓN!BI85</f>
        <v>0</v>
      </c>
      <c r="BJ16" s="37">
        <f>FINANCIACIÓN!BJ85</f>
        <v>0</v>
      </c>
      <c r="BK16" s="37">
        <f>FINANCIACIÓN!BK85</f>
        <v>0</v>
      </c>
    </row>
    <row r="17" spans="1:63" x14ac:dyDescent="0.3">
      <c r="A17" s="115" t="s">
        <v>242</v>
      </c>
      <c r="B17" s="116"/>
      <c r="C17" s="37">
        <f>C15-C16</f>
        <v>-2382000</v>
      </c>
      <c r="D17" s="37">
        <f t="shared" ref="D17:BK17" si="2">D15-D16</f>
        <v>-5529170.333333333</v>
      </c>
      <c r="E17" s="37">
        <f t="shared" si="2"/>
        <v>-5332490.333333333</v>
      </c>
      <c r="F17" s="37">
        <f t="shared" si="2"/>
        <v>-5057138.333333333</v>
      </c>
      <c r="G17" s="37">
        <f t="shared" si="2"/>
        <v>-4742450.333333333</v>
      </c>
      <c r="H17" s="37">
        <f t="shared" si="2"/>
        <v>-4427762.333333333</v>
      </c>
      <c r="I17" s="37">
        <f t="shared" si="2"/>
        <v>-4152410.333333333</v>
      </c>
      <c r="J17" s="37">
        <f t="shared" si="2"/>
        <v>-3862800.333333333</v>
      </c>
      <c r="K17" s="37">
        <f t="shared" si="2"/>
        <v>-3469440.333333333</v>
      </c>
      <c r="L17" s="37">
        <f t="shared" si="2"/>
        <v>-3076080.333333333</v>
      </c>
      <c r="M17" s="37">
        <f t="shared" si="2"/>
        <v>-2682720.333333333</v>
      </c>
      <c r="N17" s="37">
        <f t="shared" si="2"/>
        <v>-2289360.333333333</v>
      </c>
      <c r="O17" s="37">
        <f t="shared" si="2"/>
        <v>-1699320.333333333</v>
      </c>
      <c r="P17" s="37">
        <f t="shared" si="2"/>
        <v>-11815713.999999998</v>
      </c>
      <c r="Q17" s="37">
        <f t="shared" si="2"/>
        <v>-11029409.999999998</v>
      </c>
      <c r="R17" s="37">
        <f t="shared" si="2"/>
        <v>-10243105.999999998</v>
      </c>
      <c r="S17" s="37">
        <f t="shared" si="2"/>
        <v>-9456801.9999999981</v>
      </c>
      <c r="T17" s="37">
        <f t="shared" si="2"/>
        <v>-8473921.9999999981</v>
      </c>
      <c r="U17" s="37">
        <f t="shared" si="2"/>
        <v>-7491041.9999999981</v>
      </c>
      <c r="V17" s="37">
        <f t="shared" si="2"/>
        <v>-6508161.9999999981</v>
      </c>
      <c r="W17" s="37">
        <f t="shared" si="2"/>
        <v>-5328705.9999999981</v>
      </c>
      <c r="X17" s="37">
        <f t="shared" si="2"/>
        <v>-4149249.9999999981</v>
      </c>
      <c r="Y17" s="37">
        <f t="shared" si="2"/>
        <v>-2969793.9999999981</v>
      </c>
      <c r="Z17" s="37">
        <f t="shared" si="2"/>
        <v>-1790337.9999999981</v>
      </c>
      <c r="AA17" s="37">
        <f t="shared" si="2"/>
        <v>-217729.99999999814</v>
      </c>
      <c r="AB17" s="37">
        <f t="shared" si="2"/>
        <v>-11585948.666666664</v>
      </c>
      <c r="AC17" s="37">
        <f t="shared" si="2"/>
        <v>-10014172.666666664</v>
      </c>
      <c r="AD17" s="37">
        <f t="shared" si="2"/>
        <v>-8245924.6666666642</v>
      </c>
      <c r="AE17" s="37">
        <f t="shared" si="2"/>
        <v>-6477676.6666666642</v>
      </c>
      <c r="AF17" s="37">
        <f t="shared" si="2"/>
        <v>-4512956.6666666642</v>
      </c>
      <c r="AG17" s="37">
        <f t="shared" si="2"/>
        <v>-2548236.6666666642</v>
      </c>
      <c r="AH17" s="37">
        <f t="shared" si="2"/>
        <v>-387044.66666666418</v>
      </c>
      <c r="AI17" s="37">
        <f t="shared" si="2"/>
        <v>1774147.3333333358</v>
      </c>
      <c r="AJ17" s="37">
        <f t="shared" si="2"/>
        <v>4131811.3333333358</v>
      </c>
      <c r="AK17" s="37">
        <f t="shared" si="2"/>
        <v>6489475.3333333358</v>
      </c>
      <c r="AL17" s="37">
        <f t="shared" si="2"/>
        <v>8847139.3333333358</v>
      </c>
      <c r="AM17" s="37">
        <f t="shared" si="2"/>
        <v>11597747.333333336</v>
      </c>
      <c r="AN17" s="37">
        <f t="shared" si="2"/>
        <v>1378159.3333333395</v>
      </c>
      <c r="AO17" s="37">
        <f t="shared" si="2"/>
        <v>4128767.3333333395</v>
      </c>
      <c r="AP17" s="37">
        <f t="shared" si="2"/>
        <v>6879375.3333333395</v>
      </c>
      <c r="AQ17" s="37">
        <f t="shared" si="2"/>
        <v>10022927.33333334</v>
      </c>
      <c r="AR17" s="37">
        <f t="shared" si="2"/>
        <v>13166479.33333334</v>
      </c>
      <c r="AS17" s="37">
        <f t="shared" si="2"/>
        <v>16310031.33333334</v>
      </c>
      <c r="AT17" s="37">
        <f t="shared" si="2"/>
        <v>19453583.33333334</v>
      </c>
      <c r="AU17" s="37">
        <f t="shared" si="2"/>
        <v>22597135.33333334</v>
      </c>
      <c r="AV17" s="37">
        <f t="shared" si="2"/>
        <v>25740687.33333334</v>
      </c>
      <c r="AW17" s="37">
        <f t="shared" si="2"/>
        <v>29277183.33333334</v>
      </c>
      <c r="AX17" s="37">
        <f t="shared" si="2"/>
        <v>32813679.33333334</v>
      </c>
      <c r="AY17" s="37">
        <f t="shared" si="2"/>
        <v>36743119.333333343</v>
      </c>
      <c r="AZ17" s="37">
        <f t="shared" si="2"/>
        <v>40218159.333333343</v>
      </c>
      <c r="BA17" s="37">
        <f t="shared" si="2"/>
        <v>0</v>
      </c>
      <c r="BB17" s="37">
        <f t="shared" si="2"/>
        <v>0</v>
      </c>
      <c r="BC17" s="37">
        <f t="shared" si="2"/>
        <v>0</v>
      </c>
      <c r="BD17" s="37">
        <f t="shared" si="2"/>
        <v>0</v>
      </c>
      <c r="BE17" s="37">
        <f t="shared" si="2"/>
        <v>0</v>
      </c>
      <c r="BF17" s="37">
        <f t="shared" si="2"/>
        <v>0</v>
      </c>
      <c r="BG17" s="37">
        <f t="shared" si="2"/>
        <v>0</v>
      </c>
      <c r="BH17" s="37">
        <f t="shared" si="2"/>
        <v>0</v>
      </c>
      <c r="BI17" s="37">
        <f t="shared" si="2"/>
        <v>0</v>
      </c>
      <c r="BJ17" s="37">
        <f t="shared" si="2"/>
        <v>0</v>
      </c>
      <c r="BK17" s="37">
        <f t="shared" si="2"/>
        <v>0</v>
      </c>
    </row>
    <row r="18" spans="1:63" x14ac:dyDescent="0.3">
      <c r="A18" s="115" t="s">
        <v>243</v>
      </c>
      <c r="B18" s="116"/>
      <c r="C18" s="36"/>
      <c r="D18" s="37">
        <f>IF(D17&gt;0,D17*INICIO!$B$34,0)</f>
        <v>0</v>
      </c>
      <c r="E18" s="37">
        <f>IF(E17&gt;0,E17*INICIO!$B$34,0)</f>
        <v>0</v>
      </c>
      <c r="F18" s="37">
        <f>IF(F17&gt;0,F17*INICIO!$B$34,0)</f>
        <v>0</v>
      </c>
      <c r="G18" s="37">
        <f>IF(G17&gt;0,G17*INICIO!$B$34,0)</f>
        <v>0</v>
      </c>
      <c r="H18" s="37">
        <f>IF(H17&gt;0,H17*INICIO!$B$34,0)</f>
        <v>0</v>
      </c>
      <c r="I18" s="37">
        <f>IF(I17&gt;0,I17*INICIO!$B$34,0)</f>
        <v>0</v>
      </c>
      <c r="J18" s="37">
        <f>IF(J17&gt;0,J17*INICIO!$B$34,0)</f>
        <v>0</v>
      </c>
      <c r="K18" s="37">
        <f>IF(K17&gt;0,K17*INICIO!$B$34,0)</f>
        <v>0</v>
      </c>
      <c r="L18" s="37">
        <f>IF(L17&gt;0,L17*INICIO!$B$34,0)</f>
        <v>0</v>
      </c>
      <c r="M18" s="37">
        <f>IF(M17&gt;0,M17*INICIO!$B$34,0)</f>
        <v>0</v>
      </c>
      <c r="N18" s="37">
        <f>IF(N17&gt;0,N17*INICIO!$B$34,0)</f>
        <v>0</v>
      </c>
      <c r="O18" s="37">
        <f>IF(O17&gt;0,O17*INICIO!$B$34,0)</f>
        <v>0</v>
      </c>
      <c r="P18" s="37">
        <f>IF(P17&gt;0,P17*INICIO!$C$34,0)</f>
        <v>0</v>
      </c>
      <c r="Q18" s="37">
        <f>IF(Q17&gt;0,Q17*INICIO!$C$34,0)</f>
        <v>0</v>
      </c>
      <c r="R18" s="37">
        <f>IF(R17&gt;0,R17*INICIO!$C$34,0)</f>
        <v>0</v>
      </c>
      <c r="S18" s="37">
        <f>IF(S17&gt;0,S17*INICIO!$C$34,0)</f>
        <v>0</v>
      </c>
      <c r="T18" s="37">
        <f>IF(T17&gt;0,T17*INICIO!$C$34,0)</f>
        <v>0</v>
      </c>
      <c r="U18" s="37">
        <f>IF(U17&gt;0,U17*INICIO!$C$34,0)</f>
        <v>0</v>
      </c>
      <c r="V18" s="37">
        <f>IF(V17&gt;0,V17*INICIO!$C$34,0)</f>
        <v>0</v>
      </c>
      <c r="W18" s="37">
        <f>IF(W17&gt;0,W17*INICIO!$C$34,0)</f>
        <v>0</v>
      </c>
      <c r="X18" s="37">
        <f>IF(X17&gt;0,X17*INICIO!$C$34,0)</f>
        <v>0</v>
      </c>
      <c r="Y18" s="37">
        <f>IF(Y17&gt;0,Y17*INICIO!$C$34,0)</f>
        <v>0</v>
      </c>
      <c r="Z18" s="37">
        <f>IF(Z17&gt;0,Z17*INICIO!$C$34,0)</f>
        <v>0</v>
      </c>
      <c r="AA18" s="37">
        <f>IF(AA17&gt;0,AA17*INICIO!$C$34,0)</f>
        <v>0</v>
      </c>
      <c r="AB18" s="37">
        <f>IF(AB17&gt;0,AB17*INICIO!$D$34,0)</f>
        <v>0</v>
      </c>
      <c r="AC18" s="37">
        <f>IF(AC17&gt;0,AC17*INICIO!$D$34,0)</f>
        <v>0</v>
      </c>
      <c r="AD18" s="37">
        <f>IF(AD17&gt;0,AD17*INICIO!$D$34,0)</f>
        <v>0</v>
      </c>
      <c r="AE18" s="37">
        <f>IF(AE17&gt;0,AE17*INICIO!$D$34,0)</f>
        <v>0</v>
      </c>
      <c r="AF18" s="37">
        <f>IF(AF17&gt;0,AF17*INICIO!$D$34,0)</f>
        <v>0</v>
      </c>
      <c r="AG18" s="37">
        <f>IF(AG17&gt;0,AG17*INICIO!$D$34,0)</f>
        <v>0</v>
      </c>
      <c r="AH18" s="37">
        <f>IF(AH17&gt;0,AH17*INICIO!$D$34,0)</f>
        <v>0</v>
      </c>
      <c r="AI18" s="37">
        <f>IF(AI17&gt;0,AI17*INICIO!$D$34,0)</f>
        <v>620951.56666666747</v>
      </c>
      <c r="AJ18" s="37">
        <f>IF(AJ17&gt;0,AJ17*INICIO!$D$34,0)</f>
        <v>1446133.9666666675</v>
      </c>
      <c r="AK18" s="37">
        <f>IF(AK17&gt;0,AK17*INICIO!$D$34,0)</f>
        <v>2271316.3666666672</v>
      </c>
      <c r="AL18" s="37">
        <f>IF(AL17&gt;0,AL17*INICIO!$D$34,0)</f>
        <v>3096498.7666666675</v>
      </c>
      <c r="AM18" s="37">
        <f>IF(AM17&gt;0,AM17*INICIO!$D$34,0)</f>
        <v>4059211.5666666673</v>
      </c>
      <c r="AN18" s="37">
        <f>IF(AN17&gt;0,AN17*INICIO!$E$34,0)</f>
        <v>482355.76666666882</v>
      </c>
      <c r="AO18" s="37">
        <f>IF(AO17&gt;0,AO17*INICIO!$E$34,0)</f>
        <v>1445068.5666666687</v>
      </c>
      <c r="AP18" s="37">
        <f>IF(AP17&gt;0,AP17*INICIO!$E$34,0)</f>
        <v>2407781.3666666686</v>
      </c>
      <c r="AQ18" s="37">
        <f>IF(AQ17&gt;0,AQ17*INICIO!$E$34,0)</f>
        <v>3508024.5666666687</v>
      </c>
      <c r="AR18" s="37">
        <f>IF(AR17&gt;0,AR17*INICIO!$E$34,0)</f>
        <v>4608267.7666666685</v>
      </c>
      <c r="AS18" s="37">
        <f>IF(AS17&gt;0,AS17*INICIO!$E$34,0)</f>
        <v>5708510.9666666687</v>
      </c>
      <c r="AT18" s="37">
        <f>IF(AT17&gt;0,AT17*INICIO!$E$34,0)</f>
        <v>6808754.1666666688</v>
      </c>
      <c r="AU18" s="37">
        <f>IF(AU17&gt;0,AU17*INICIO!$E$34,0)</f>
        <v>7908997.3666666681</v>
      </c>
      <c r="AV18" s="37">
        <f>IF(AV17&gt;0,AV17*INICIO!$E$34,0)</f>
        <v>9009240.5666666683</v>
      </c>
      <c r="AW18" s="37">
        <f>IF(AW17&gt;0,AW17*INICIO!$E$34,0)</f>
        <v>10247014.166666668</v>
      </c>
      <c r="AX18" s="37">
        <f>IF(AX17&gt;0,AX17*INICIO!$E$34,0)</f>
        <v>11484787.766666668</v>
      </c>
      <c r="AY18" s="37">
        <f>IF(AY17&gt;0,AY17*INICIO!$E$34,0)</f>
        <v>12860091.766666669</v>
      </c>
      <c r="AZ18" s="37">
        <f>IF(AZ17&gt;0,AZ17*INICIO!$F$34,0)</f>
        <v>14076355.766666669</v>
      </c>
      <c r="BA18" s="37">
        <f>IF(BA17&gt;0,BA17*INICIO!$F$34,0)</f>
        <v>0</v>
      </c>
      <c r="BB18" s="37">
        <f>IF(BB17&gt;0,BB17*INICIO!$F$34,0)</f>
        <v>0</v>
      </c>
      <c r="BC18" s="37">
        <f>IF(BC17&gt;0,BC17*INICIO!$F$34,0)</f>
        <v>0</v>
      </c>
      <c r="BD18" s="37">
        <f>IF(BD17&gt;0,BD17*INICIO!$F$34,0)</f>
        <v>0</v>
      </c>
      <c r="BE18" s="37">
        <f>IF(BE17&gt;0,BE17*INICIO!$F$34,0)</f>
        <v>0</v>
      </c>
      <c r="BF18" s="37">
        <f>IF(BF17&gt;0,BF17*INICIO!$F$34,0)</f>
        <v>0</v>
      </c>
      <c r="BG18" s="37">
        <f>IF(BG17&gt;0,BG17*INICIO!$F$34,0)</f>
        <v>0</v>
      </c>
      <c r="BH18" s="37">
        <f>IF(BH17&gt;0,BH17*INICIO!$F$34,0)</f>
        <v>0</v>
      </c>
      <c r="BI18" s="37">
        <f>IF(BI17&gt;0,BI17*INICIO!$F$34,0)</f>
        <v>0</v>
      </c>
      <c r="BJ18" s="37">
        <f>IF(BJ17&gt;0,BJ17*INICIO!$F$34,0)</f>
        <v>0</v>
      </c>
      <c r="BK18" s="37">
        <f>IF(BK17&gt;0,BK17*INICIO!$F$34,0)</f>
        <v>0</v>
      </c>
    </row>
    <row r="19" spans="1:63" x14ac:dyDescent="0.3">
      <c r="A19" s="115" t="s">
        <v>244</v>
      </c>
      <c r="B19" s="116"/>
      <c r="C19" s="37">
        <f>C17-C18</f>
        <v>-2382000</v>
      </c>
      <c r="D19" s="37">
        <f t="shared" ref="D19:BK19" si="3">D17-D18</f>
        <v>-5529170.333333333</v>
      </c>
      <c r="E19" s="37">
        <f t="shared" si="3"/>
        <v>-5332490.333333333</v>
      </c>
      <c r="F19" s="37">
        <f t="shared" si="3"/>
        <v>-5057138.333333333</v>
      </c>
      <c r="G19" s="37">
        <f t="shared" si="3"/>
        <v>-4742450.333333333</v>
      </c>
      <c r="H19" s="37">
        <f t="shared" si="3"/>
        <v>-4427762.333333333</v>
      </c>
      <c r="I19" s="37">
        <f t="shared" si="3"/>
        <v>-4152410.333333333</v>
      </c>
      <c r="J19" s="37">
        <f t="shared" si="3"/>
        <v>-3862800.333333333</v>
      </c>
      <c r="K19" s="37">
        <f t="shared" si="3"/>
        <v>-3469440.333333333</v>
      </c>
      <c r="L19" s="37">
        <f t="shared" si="3"/>
        <v>-3076080.333333333</v>
      </c>
      <c r="M19" s="37">
        <f t="shared" si="3"/>
        <v>-2682720.333333333</v>
      </c>
      <c r="N19" s="37">
        <f t="shared" si="3"/>
        <v>-2289360.333333333</v>
      </c>
      <c r="O19" s="37">
        <f t="shared" si="3"/>
        <v>-1699320.333333333</v>
      </c>
      <c r="P19" s="37">
        <f t="shared" si="3"/>
        <v>-11815713.999999998</v>
      </c>
      <c r="Q19" s="37">
        <f t="shared" si="3"/>
        <v>-11029409.999999998</v>
      </c>
      <c r="R19" s="37">
        <f t="shared" si="3"/>
        <v>-10243105.999999998</v>
      </c>
      <c r="S19" s="37">
        <f t="shared" si="3"/>
        <v>-9456801.9999999981</v>
      </c>
      <c r="T19" s="37">
        <f t="shared" si="3"/>
        <v>-8473921.9999999981</v>
      </c>
      <c r="U19" s="37">
        <f t="shared" si="3"/>
        <v>-7491041.9999999981</v>
      </c>
      <c r="V19" s="37">
        <f t="shared" si="3"/>
        <v>-6508161.9999999981</v>
      </c>
      <c r="W19" s="37">
        <f t="shared" si="3"/>
        <v>-5328705.9999999981</v>
      </c>
      <c r="X19" s="37">
        <f t="shared" si="3"/>
        <v>-4149249.9999999981</v>
      </c>
      <c r="Y19" s="37">
        <f t="shared" si="3"/>
        <v>-2969793.9999999981</v>
      </c>
      <c r="Z19" s="37">
        <f t="shared" si="3"/>
        <v>-1790337.9999999981</v>
      </c>
      <c r="AA19" s="37">
        <f t="shared" si="3"/>
        <v>-217729.99999999814</v>
      </c>
      <c r="AB19" s="37">
        <f t="shared" si="3"/>
        <v>-11585948.666666664</v>
      </c>
      <c r="AC19" s="37">
        <f t="shared" si="3"/>
        <v>-10014172.666666664</v>
      </c>
      <c r="AD19" s="37">
        <f t="shared" si="3"/>
        <v>-8245924.6666666642</v>
      </c>
      <c r="AE19" s="37">
        <f t="shared" si="3"/>
        <v>-6477676.6666666642</v>
      </c>
      <c r="AF19" s="37">
        <f t="shared" si="3"/>
        <v>-4512956.6666666642</v>
      </c>
      <c r="AG19" s="37">
        <f t="shared" si="3"/>
        <v>-2548236.6666666642</v>
      </c>
      <c r="AH19" s="37">
        <f t="shared" si="3"/>
        <v>-387044.66666666418</v>
      </c>
      <c r="AI19" s="37">
        <f t="shared" si="3"/>
        <v>1153195.7666666685</v>
      </c>
      <c r="AJ19" s="37">
        <f t="shared" si="3"/>
        <v>2685677.3666666681</v>
      </c>
      <c r="AK19" s="37">
        <f t="shared" si="3"/>
        <v>4218158.9666666687</v>
      </c>
      <c r="AL19" s="37">
        <f t="shared" si="3"/>
        <v>5750640.5666666683</v>
      </c>
      <c r="AM19" s="37">
        <f t="shared" si="3"/>
        <v>7538535.7666666685</v>
      </c>
      <c r="AN19" s="37">
        <f t="shared" si="3"/>
        <v>895803.56666667073</v>
      </c>
      <c r="AO19" s="37">
        <f t="shared" si="3"/>
        <v>2683698.7666666708</v>
      </c>
      <c r="AP19" s="37">
        <f t="shared" si="3"/>
        <v>4471593.9666666705</v>
      </c>
      <c r="AQ19" s="37">
        <f t="shared" si="3"/>
        <v>6514902.7666666713</v>
      </c>
      <c r="AR19" s="37">
        <f t="shared" si="3"/>
        <v>8558211.5666666701</v>
      </c>
      <c r="AS19" s="37">
        <f t="shared" si="3"/>
        <v>10601520.366666671</v>
      </c>
      <c r="AT19" s="37">
        <f t="shared" si="3"/>
        <v>12644829.166666672</v>
      </c>
      <c r="AU19" s="37">
        <f t="shared" si="3"/>
        <v>14688137.966666672</v>
      </c>
      <c r="AV19" s="37">
        <f t="shared" si="3"/>
        <v>16731446.766666671</v>
      </c>
      <c r="AW19" s="37">
        <f t="shared" si="3"/>
        <v>19030169.166666672</v>
      </c>
      <c r="AX19" s="37">
        <f t="shared" si="3"/>
        <v>21328891.56666667</v>
      </c>
      <c r="AY19" s="37">
        <f t="shared" si="3"/>
        <v>23883027.566666674</v>
      </c>
      <c r="AZ19" s="37">
        <f t="shared" si="3"/>
        <v>26141803.566666674</v>
      </c>
      <c r="BA19" s="37">
        <f t="shared" si="3"/>
        <v>0</v>
      </c>
      <c r="BB19" s="37">
        <f t="shared" si="3"/>
        <v>0</v>
      </c>
      <c r="BC19" s="37">
        <f t="shared" si="3"/>
        <v>0</v>
      </c>
      <c r="BD19" s="37">
        <f t="shared" si="3"/>
        <v>0</v>
      </c>
      <c r="BE19" s="37">
        <f t="shared" si="3"/>
        <v>0</v>
      </c>
      <c r="BF19" s="37">
        <f t="shared" si="3"/>
        <v>0</v>
      </c>
      <c r="BG19" s="37">
        <f t="shared" si="3"/>
        <v>0</v>
      </c>
      <c r="BH19" s="37">
        <f t="shared" si="3"/>
        <v>0</v>
      </c>
      <c r="BI19" s="37">
        <f t="shared" si="3"/>
        <v>0</v>
      </c>
      <c r="BJ19" s="37">
        <f t="shared" si="3"/>
        <v>0</v>
      </c>
      <c r="BK19" s="37">
        <f t="shared" si="3"/>
        <v>0</v>
      </c>
    </row>
    <row r="21" spans="1:63" x14ac:dyDescent="0.3">
      <c r="A21" s="137" t="s">
        <v>245</v>
      </c>
      <c r="B21" s="138"/>
      <c r="C21" s="11"/>
      <c r="D21" s="103">
        <f>Año1</f>
        <v>2027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>
        <f>Año2</f>
        <v>2028</v>
      </c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>
        <f>Año3</f>
        <v>2029</v>
      </c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>
        <f>Año4</f>
        <v>2030</v>
      </c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>
        <f>Año5</f>
        <v>2031</v>
      </c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</row>
    <row r="22" spans="1:63" x14ac:dyDescent="0.3">
      <c r="A22" s="139"/>
      <c r="B22" s="140"/>
      <c r="C22" s="11" t="s">
        <v>196</v>
      </c>
      <c r="D22" s="4" t="s">
        <v>67</v>
      </c>
      <c r="E22" s="4" t="s">
        <v>68</v>
      </c>
      <c r="F22" s="4" t="s">
        <v>69</v>
      </c>
      <c r="G22" s="4" t="s">
        <v>70</v>
      </c>
      <c r="H22" s="4" t="s">
        <v>71</v>
      </c>
      <c r="I22" s="4" t="s">
        <v>72</v>
      </c>
      <c r="J22" s="4" t="s">
        <v>73</v>
      </c>
      <c r="K22" s="4" t="s">
        <v>74</v>
      </c>
      <c r="L22" s="4" t="s">
        <v>75</v>
      </c>
      <c r="M22" s="4" t="s">
        <v>76</v>
      </c>
      <c r="N22" s="4" t="s">
        <v>77</v>
      </c>
      <c r="O22" s="4" t="s">
        <v>78</v>
      </c>
      <c r="P22" s="4" t="s">
        <v>79</v>
      </c>
      <c r="Q22" s="4" t="s">
        <v>80</v>
      </c>
      <c r="R22" s="4" t="s">
        <v>81</v>
      </c>
      <c r="S22" s="4" t="s">
        <v>82</v>
      </c>
      <c r="T22" s="4" t="s">
        <v>83</v>
      </c>
      <c r="U22" s="4" t="s">
        <v>84</v>
      </c>
      <c r="V22" s="4" t="s">
        <v>85</v>
      </c>
      <c r="W22" s="4" t="s">
        <v>86</v>
      </c>
      <c r="X22" s="4" t="s">
        <v>87</v>
      </c>
      <c r="Y22" s="4" t="s">
        <v>88</v>
      </c>
      <c r="Z22" s="4" t="s">
        <v>89</v>
      </c>
      <c r="AA22" s="4" t="s">
        <v>90</v>
      </c>
      <c r="AB22" s="4" t="s">
        <v>91</v>
      </c>
      <c r="AC22" s="4" t="s">
        <v>92</v>
      </c>
      <c r="AD22" s="4" t="s">
        <v>93</v>
      </c>
      <c r="AE22" s="4" t="s">
        <v>94</v>
      </c>
      <c r="AF22" s="4" t="s">
        <v>95</v>
      </c>
      <c r="AG22" s="4" t="s">
        <v>96</v>
      </c>
      <c r="AH22" s="4" t="s">
        <v>97</v>
      </c>
      <c r="AI22" s="4" t="s">
        <v>98</v>
      </c>
      <c r="AJ22" s="4" t="s">
        <v>99</v>
      </c>
      <c r="AK22" s="4" t="s">
        <v>100</v>
      </c>
      <c r="AL22" s="4" t="s">
        <v>101</v>
      </c>
      <c r="AM22" s="4" t="s">
        <v>102</v>
      </c>
      <c r="AN22" s="4" t="s">
        <v>103</v>
      </c>
      <c r="AO22" s="4" t="s">
        <v>104</v>
      </c>
      <c r="AP22" s="4" t="s">
        <v>105</v>
      </c>
      <c r="AQ22" s="4" t="s">
        <v>106</v>
      </c>
      <c r="AR22" s="4" t="s">
        <v>107</v>
      </c>
      <c r="AS22" s="4" t="s">
        <v>108</v>
      </c>
      <c r="AT22" s="4" t="s">
        <v>109</v>
      </c>
      <c r="AU22" s="4" t="s">
        <v>110</v>
      </c>
      <c r="AV22" s="4" t="s">
        <v>111</v>
      </c>
      <c r="AW22" s="4" t="s">
        <v>112</v>
      </c>
      <c r="AX22" s="4" t="s">
        <v>113</v>
      </c>
      <c r="AY22" s="4" t="s">
        <v>114</v>
      </c>
      <c r="AZ22" s="4" t="s">
        <v>115</v>
      </c>
      <c r="BA22" s="4" t="s">
        <v>116</v>
      </c>
      <c r="BB22" s="4" t="s">
        <v>117</v>
      </c>
      <c r="BC22" s="4" t="s">
        <v>118</v>
      </c>
      <c r="BD22" s="4" t="s">
        <v>119</v>
      </c>
      <c r="BE22" s="4" t="s">
        <v>120</v>
      </c>
      <c r="BF22" s="4" t="s">
        <v>121</v>
      </c>
      <c r="BG22" s="4" t="s">
        <v>122</v>
      </c>
      <c r="BH22" s="4" t="s">
        <v>123</v>
      </c>
      <c r="BI22" s="4" t="s">
        <v>124</v>
      </c>
      <c r="BJ22" s="4" t="s">
        <v>125</v>
      </c>
      <c r="BK22" s="4" t="s">
        <v>126</v>
      </c>
    </row>
    <row r="23" spans="1:63" x14ac:dyDescent="0.3">
      <c r="A23" s="115" t="s">
        <v>246</v>
      </c>
      <c r="B23" s="116"/>
      <c r="C23" s="36"/>
      <c r="D23" s="37">
        <f>(D9/30)*INGRESOS!B11</f>
        <v>0</v>
      </c>
      <c r="E23" s="37">
        <f>(E9/30)*INGRESOS!C11</f>
        <v>0</v>
      </c>
      <c r="F23" s="37">
        <f>(F9/30)*INGRESOS!D11</f>
        <v>0</v>
      </c>
      <c r="G23" s="37">
        <f>(G9/30)*INGRESOS!E11</f>
        <v>0</v>
      </c>
      <c r="H23" s="37">
        <f>(H9/30)*INGRESOS!F11</f>
        <v>0</v>
      </c>
      <c r="I23" s="37">
        <f>(I9/30)*INGRESOS!G11</f>
        <v>0</v>
      </c>
      <c r="J23" s="37">
        <f>(J9/30)*INGRESOS!H11</f>
        <v>0</v>
      </c>
      <c r="K23" s="37">
        <f>(K9/30)*INGRESOS!I11</f>
        <v>0</v>
      </c>
      <c r="L23" s="37">
        <f>(L9/30)*INGRESOS!J11</f>
        <v>0</v>
      </c>
      <c r="M23" s="37">
        <f>(M9/30)*INGRESOS!K11</f>
        <v>0</v>
      </c>
      <c r="N23" s="37">
        <f>(N9/30)*INGRESOS!L11</f>
        <v>0</v>
      </c>
      <c r="O23" s="37">
        <f>(O9/30)*INGRESOS!M11</f>
        <v>0</v>
      </c>
      <c r="P23" s="37">
        <f>(P9/30)*INGRESOS!N11</f>
        <v>0</v>
      </c>
      <c r="Q23" s="37">
        <f>(Q9/30)*INGRESOS!O11</f>
        <v>0</v>
      </c>
      <c r="R23" s="37">
        <f>(R9/30)*INGRESOS!P11</f>
        <v>0</v>
      </c>
      <c r="S23" s="37">
        <f>(S9/30)*INGRESOS!Q11</f>
        <v>0</v>
      </c>
      <c r="T23" s="37">
        <f>(T9/30)*INGRESOS!R11</f>
        <v>0</v>
      </c>
      <c r="U23" s="37">
        <f>(U9/30)*INGRESOS!S11</f>
        <v>0</v>
      </c>
      <c r="V23" s="37">
        <f>(V9/30)*INGRESOS!T11</f>
        <v>0</v>
      </c>
      <c r="W23" s="37">
        <f>(W9/30)*INGRESOS!U11</f>
        <v>0</v>
      </c>
      <c r="X23" s="37">
        <f>(X9/30)*INGRESOS!V11</f>
        <v>0</v>
      </c>
      <c r="Y23" s="37">
        <f>(Y9/30)*INGRESOS!W11</f>
        <v>0</v>
      </c>
      <c r="Z23" s="37">
        <f>(Z9/30)*INGRESOS!X11</f>
        <v>0</v>
      </c>
      <c r="AA23" s="37">
        <f>(AA9/30)*INGRESOS!Y11</f>
        <v>0</v>
      </c>
      <c r="AB23" s="37">
        <f>(AB9/30)*INGRESOS!Z11</f>
        <v>0</v>
      </c>
      <c r="AC23" s="37">
        <f>(AC9/30)*INGRESOS!AA11</f>
        <v>0</v>
      </c>
      <c r="AD23" s="37">
        <f>(AD9/30)*INGRESOS!AB11</f>
        <v>0</v>
      </c>
      <c r="AE23" s="37">
        <f>(AE9/30)*INGRESOS!AC11</f>
        <v>0</v>
      </c>
      <c r="AF23" s="37">
        <f>(AF9/30)*INGRESOS!AD11</f>
        <v>0</v>
      </c>
      <c r="AG23" s="37">
        <f>(AG9/30)*INGRESOS!AE11</f>
        <v>0</v>
      </c>
      <c r="AH23" s="37">
        <f>(AH9/30)*INGRESOS!AF11</f>
        <v>0</v>
      </c>
      <c r="AI23" s="37">
        <f>(AI9/30)*INGRESOS!AG11</f>
        <v>0</v>
      </c>
      <c r="AJ23" s="37">
        <f>(AJ9/30)*INGRESOS!AH11</f>
        <v>0</v>
      </c>
      <c r="AK23" s="37">
        <f>(AK9/30)*INGRESOS!AI11</f>
        <v>0</v>
      </c>
      <c r="AL23" s="37">
        <f>(AL9/30)*INGRESOS!AJ11</f>
        <v>0</v>
      </c>
      <c r="AM23" s="37">
        <f>(AM9/30)*INGRESOS!AK11</f>
        <v>0</v>
      </c>
      <c r="AN23" s="37">
        <f>(AN9/30)*INGRESOS!AL11</f>
        <v>0</v>
      </c>
      <c r="AO23" s="37">
        <f>(AO9/30)*INGRESOS!AM11</f>
        <v>0</v>
      </c>
      <c r="AP23" s="37">
        <f>(AP9/30)*INGRESOS!AN11</f>
        <v>0</v>
      </c>
      <c r="AQ23" s="37">
        <f>(AQ9/30)*INGRESOS!AO11</f>
        <v>0</v>
      </c>
      <c r="AR23" s="37">
        <f>(AR9/30)*INGRESOS!AP11</f>
        <v>0</v>
      </c>
      <c r="AS23" s="37">
        <f>(AS9/30)*INGRESOS!AQ11</f>
        <v>0</v>
      </c>
      <c r="AT23" s="37">
        <f>(AT9/30)*INGRESOS!AR11</f>
        <v>0</v>
      </c>
      <c r="AU23" s="37">
        <f>(AU9/30)*INGRESOS!AS11</f>
        <v>0</v>
      </c>
      <c r="AV23" s="37">
        <f>(AV9/30)*INGRESOS!AT11</f>
        <v>0</v>
      </c>
      <c r="AW23" s="37">
        <f>(AW9/30)*INGRESOS!AU11</f>
        <v>0</v>
      </c>
      <c r="AX23" s="37">
        <f>(AX9/30)*INGRESOS!AV11</f>
        <v>0</v>
      </c>
      <c r="AY23" s="37">
        <f>(AY9/30)*INGRESOS!AW11</f>
        <v>0</v>
      </c>
      <c r="AZ23" s="37">
        <f>(AZ9/30)*INGRESOS!AX11</f>
        <v>0</v>
      </c>
      <c r="BA23" s="37">
        <f>(BA9/30)*INGRESOS!AY11</f>
        <v>0</v>
      </c>
      <c r="BB23" s="37">
        <f>(BB9/30)*INGRESOS!AZ11</f>
        <v>0</v>
      </c>
      <c r="BC23" s="37">
        <f>(BC9/30)*INGRESOS!BA11</f>
        <v>0</v>
      </c>
      <c r="BD23" s="37">
        <f>(BD9/30)*INGRESOS!BB11</f>
        <v>0</v>
      </c>
      <c r="BE23" s="37">
        <f>(BE9/30)*INGRESOS!BC11</f>
        <v>0</v>
      </c>
      <c r="BF23" s="37">
        <f>(BF9/30)*INGRESOS!BD11</f>
        <v>0</v>
      </c>
      <c r="BG23" s="37">
        <f>(BG9/30)*INGRESOS!BE11</f>
        <v>0</v>
      </c>
      <c r="BH23" s="37">
        <f>(BH9/30)*INGRESOS!BF11</f>
        <v>0</v>
      </c>
      <c r="BI23" s="37">
        <f>(BI9/30)*INGRESOS!BG11</f>
        <v>0</v>
      </c>
      <c r="BJ23" s="37">
        <f>(BJ9/30)*INGRESOS!BH11</f>
        <v>0</v>
      </c>
      <c r="BK23" s="37">
        <f>(BK9/30)*INGRESOS!BI11</f>
        <v>0</v>
      </c>
    </row>
    <row r="24" spans="1:63" x14ac:dyDescent="0.3">
      <c r="A24" s="115" t="s">
        <v>247</v>
      </c>
      <c r="B24" s="116"/>
      <c r="C24" s="36"/>
      <c r="D24" s="37">
        <f>(D10/30)*COSTOS!B63</f>
        <v>0</v>
      </c>
      <c r="E24" s="37">
        <f>(E10/30)*COSTOS!C63</f>
        <v>0</v>
      </c>
      <c r="F24" s="37">
        <f>(F10/30)*COSTOS!D63</f>
        <v>0</v>
      </c>
      <c r="G24" s="37">
        <f>(G10/30)*COSTOS!E63</f>
        <v>0</v>
      </c>
      <c r="H24" s="37">
        <f>(H10/30)*COSTOS!F63</f>
        <v>0</v>
      </c>
      <c r="I24" s="37">
        <f>(I10/30)*COSTOS!G63</f>
        <v>0</v>
      </c>
      <c r="J24" s="37">
        <f>(J10/30)*COSTOS!H63</f>
        <v>0</v>
      </c>
      <c r="K24" s="37">
        <f>(K10/30)*COSTOS!I63</f>
        <v>0</v>
      </c>
      <c r="L24" s="37">
        <f>(L10/30)*COSTOS!J63</f>
        <v>0</v>
      </c>
      <c r="M24" s="37">
        <f>(M10/30)*COSTOS!K63</f>
        <v>0</v>
      </c>
      <c r="N24" s="37">
        <f>(N10/30)*COSTOS!L63</f>
        <v>0</v>
      </c>
      <c r="O24" s="37">
        <f>(O10/30)*COSTOS!M63</f>
        <v>0</v>
      </c>
      <c r="P24" s="37">
        <f>(P10/30)*COSTOS!N63</f>
        <v>0</v>
      </c>
      <c r="Q24" s="37">
        <f>(Q10/30)*COSTOS!O63</f>
        <v>0</v>
      </c>
      <c r="R24" s="37">
        <f>(R10/30)*COSTOS!P63</f>
        <v>0</v>
      </c>
      <c r="S24" s="37">
        <f>(S10/30)*COSTOS!Q63</f>
        <v>0</v>
      </c>
      <c r="T24" s="37">
        <f>(T10/30)*COSTOS!R63</f>
        <v>0</v>
      </c>
      <c r="U24" s="37">
        <f>(U10/30)*COSTOS!S63</f>
        <v>0</v>
      </c>
      <c r="V24" s="37">
        <f>(V10/30)*COSTOS!T63</f>
        <v>0</v>
      </c>
      <c r="W24" s="37">
        <f>(W10/30)*COSTOS!U63</f>
        <v>0</v>
      </c>
      <c r="X24" s="37">
        <f>(X10/30)*COSTOS!V63</f>
        <v>0</v>
      </c>
      <c r="Y24" s="37">
        <f>(Y10/30)*COSTOS!W63</f>
        <v>0</v>
      </c>
      <c r="Z24" s="37">
        <f>(Z10/30)*COSTOS!X63</f>
        <v>0</v>
      </c>
      <c r="AA24" s="37">
        <f>(AA10/30)*COSTOS!Y63</f>
        <v>0</v>
      </c>
      <c r="AB24" s="37">
        <f>(AB10/30)*COSTOS!Z63</f>
        <v>0</v>
      </c>
      <c r="AC24" s="37">
        <f>(AC10/30)*COSTOS!AA63</f>
        <v>0</v>
      </c>
      <c r="AD24" s="37">
        <f>(AD10/30)*COSTOS!AB63</f>
        <v>0</v>
      </c>
      <c r="AE24" s="37">
        <f>(AE10/30)*COSTOS!AC63</f>
        <v>0</v>
      </c>
      <c r="AF24" s="37">
        <f>(AF10/30)*COSTOS!AD63</f>
        <v>0</v>
      </c>
      <c r="AG24" s="37">
        <f>(AG10/30)*COSTOS!AE63</f>
        <v>0</v>
      </c>
      <c r="AH24" s="37">
        <f>(AH10/30)*COSTOS!AF63</f>
        <v>0</v>
      </c>
      <c r="AI24" s="37">
        <f>(AI10/30)*COSTOS!AG63</f>
        <v>0</v>
      </c>
      <c r="AJ24" s="37">
        <f>(AJ10/30)*COSTOS!AH63</f>
        <v>0</v>
      </c>
      <c r="AK24" s="37">
        <f>(AK10/30)*COSTOS!AI63</f>
        <v>0</v>
      </c>
      <c r="AL24" s="37">
        <f>(AL10/30)*COSTOS!AJ63</f>
        <v>0</v>
      </c>
      <c r="AM24" s="37">
        <f>(AM10/30)*COSTOS!AK63</f>
        <v>0</v>
      </c>
      <c r="AN24" s="37">
        <f>(AN10/30)*COSTOS!AL63</f>
        <v>0</v>
      </c>
      <c r="AO24" s="37">
        <f>(AO10/30)*COSTOS!AM63</f>
        <v>0</v>
      </c>
      <c r="AP24" s="37">
        <f>(AP10/30)*COSTOS!AN63</f>
        <v>0</v>
      </c>
      <c r="AQ24" s="37">
        <f>(AQ10/30)*COSTOS!AO63</f>
        <v>0</v>
      </c>
      <c r="AR24" s="37">
        <f>(AR10/30)*COSTOS!AP63</f>
        <v>0</v>
      </c>
      <c r="AS24" s="37">
        <f>(AS10/30)*COSTOS!AQ63</f>
        <v>0</v>
      </c>
      <c r="AT24" s="37">
        <f>(AT10/30)*COSTOS!AR63</f>
        <v>0</v>
      </c>
      <c r="AU24" s="37">
        <f>(AU10/30)*COSTOS!AS63</f>
        <v>0</v>
      </c>
      <c r="AV24" s="37">
        <f>(AV10/30)*COSTOS!AT63</f>
        <v>0</v>
      </c>
      <c r="AW24" s="37">
        <f>(AW10/30)*COSTOS!AU63</f>
        <v>0</v>
      </c>
      <c r="AX24" s="37">
        <f>(AX10/30)*COSTOS!AV63</f>
        <v>0</v>
      </c>
      <c r="AY24" s="37">
        <f>(AY10/30)*COSTOS!AW63</f>
        <v>0</v>
      </c>
      <c r="AZ24" s="37">
        <f>(AZ10/30)*COSTOS!AX63</f>
        <v>0</v>
      </c>
      <c r="BA24" s="37">
        <f>(BA10/30)*COSTOS!AY63</f>
        <v>0</v>
      </c>
      <c r="BB24" s="37">
        <f>(BB10/30)*COSTOS!AZ63</f>
        <v>0</v>
      </c>
      <c r="BC24" s="37">
        <f>(BC10/30)*COSTOS!BA63</f>
        <v>0</v>
      </c>
      <c r="BD24" s="37">
        <f>(BD10/30)*COSTOS!BB63</f>
        <v>0</v>
      </c>
      <c r="BE24" s="37">
        <f>(BE10/30)*COSTOS!BC63</f>
        <v>0</v>
      </c>
      <c r="BF24" s="37">
        <f>(BF10/30)*COSTOS!BD63</f>
        <v>0</v>
      </c>
      <c r="BG24" s="37">
        <f>(BG10/30)*COSTOS!BE63</f>
        <v>0</v>
      </c>
      <c r="BH24" s="37">
        <f>(BH10/30)*COSTOS!BF63</f>
        <v>0</v>
      </c>
      <c r="BI24" s="37">
        <f>(BI10/30)*COSTOS!BG63</f>
        <v>0</v>
      </c>
      <c r="BJ24" s="37">
        <f>(BJ10/30)*COSTOS!BH63</f>
        <v>0</v>
      </c>
      <c r="BK24" s="37">
        <f>(BK10/30)*COSTOS!BI63</f>
        <v>0</v>
      </c>
    </row>
    <row r="25" spans="1:63" x14ac:dyDescent="0.3">
      <c r="A25" s="115" t="s">
        <v>248</v>
      </c>
      <c r="B25" s="116"/>
      <c r="C25" s="40"/>
      <c r="D25" s="37">
        <f>((D10+D24-C24)/30)*COSTOS!B62</f>
        <v>0</v>
      </c>
      <c r="E25" s="37">
        <f>((E10+E24-D24)/30)*COSTOS!C62</f>
        <v>0</v>
      </c>
      <c r="F25" s="37">
        <f>((F10+F24-E24)/30)*COSTOS!D62</f>
        <v>0</v>
      </c>
      <c r="G25" s="37">
        <f>((G10+G24-F24)/30)*COSTOS!E62</f>
        <v>0</v>
      </c>
      <c r="H25" s="37">
        <f>((H10+H24-G24)/30)*COSTOS!F62</f>
        <v>0</v>
      </c>
      <c r="I25" s="37">
        <f>((I10+I24-H24)/30)*COSTOS!G62</f>
        <v>0</v>
      </c>
      <c r="J25" s="37">
        <f>((J10+J24-I24)/30)*COSTOS!H62</f>
        <v>0</v>
      </c>
      <c r="K25" s="37">
        <f>((K10+K24-J24)/30)*COSTOS!I62</f>
        <v>0</v>
      </c>
      <c r="L25" s="37">
        <f>((L10+L24-K24)/30)*COSTOS!J62</f>
        <v>0</v>
      </c>
      <c r="M25" s="37">
        <f>((M10+M24-L24)/30)*COSTOS!K62</f>
        <v>0</v>
      </c>
      <c r="N25" s="37">
        <f>((N10+N24-M24)/30)*COSTOS!L62</f>
        <v>0</v>
      </c>
      <c r="O25" s="37">
        <f>((O10+O24-N24)/30)*COSTOS!M62</f>
        <v>0</v>
      </c>
      <c r="P25" s="37">
        <f>((P10+P24-O24)/30)*COSTOS!N62</f>
        <v>0</v>
      </c>
      <c r="Q25" s="37">
        <f>((Q10+Q24-P24)/30)*COSTOS!O62</f>
        <v>0</v>
      </c>
      <c r="R25" s="37">
        <f>((R10+R24-Q24)/30)*COSTOS!P62</f>
        <v>0</v>
      </c>
      <c r="S25" s="37">
        <f>((S10+S24-R24)/30)*COSTOS!Q62</f>
        <v>0</v>
      </c>
      <c r="T25" s="37">
        <f>((T10+T24-S24)/30)*COSTOS!R62</f>
        <v>0</v>
      </c>
      <c r="U25" s="37">
        <f>((U10+U24-T24)/30)*COSTOS!S62</f>
        <v>0</v>
      </c>
      <c r="V25" s="37">
        <f>((V10+V24-U24)/30)*COSTOS!T62</f>
        <v>0</v>
      </c>
      <c r="W25" s="37">
        <f>((W10+W24-V24)/30)*COSTOS!U62</f>
        <v>0</v>
      </c>
      <c r="X25" s="37">
        <f>((X10+X24-W24)/30)*COSTOS!V62</f>
        <v>0</v>
      </c>
      <c r="Y25" s="37">
        <f>((Y10+Y24-X24)/30)*COSTOS!W62</f>
        <v>0</v>
      </c>
      <c r="Z25" s="37">
        <f>((Z10+Z24-Y24)/30)*COSTOS!X62</f>
        <v>0</v>
      </c>
      <c r="AA25" s="37">
        <f>((AA10+AA24-Z24)/30)*COSTOS!Y62</f>
        <v>0</v>
      </c>
      <c r="AB25" s="37">
        <f>((AB10+AB24-AA24)/30)*COSTOS!Z62</f>
        <v>0</v>
      </c>
      <c r="AC25" s="37">
        <f>((AC10+AC24-AB24)/30)*COSTOS!AA62</f>
        <v>0</v>
      </c>
      <c r="AD25" s="37">
        <f>((AD10+AD24-AC24)/30)*COSTOS!AB62</f>
        <v>0</v>
      </c>
      <c r="AE25" s="37">
        <f>((AE10+AE24-AD24)/30)*COSTOS!AC62</f>
        <v>0</v>
      </c>
      <c r="AF25" s="37">
        <f>((AF10+AF24-AE24)/30)*COSTOS!AD62</f>
        <v>0</v>
      </c>
      <c r="AG25" s="37">
        <f>((AG10+AG24-AF24)/30)*COSTOS!AE62</f>
        <v>0</v>
      </c>
      <c r="AH25" s="37">
        <f>((AH10+AH24-AG24)/30)*COSTOS!AF62</f>
        <v>0</v>
      </c>
      <c r="AI25" s="37">
        <f>((AI10+AI24-AH24)/30)*COSTOS!AG62</f>
        <v>0</v>
      </c>
      <c r="AJ25" s="37">
        <f>((AJ10+AJ24-AI24)/30)*COSTOS!AH62</f>
        <v>0</v>
      </c>
      <c r="AK25" s="37">
        <f>((AK10+AK24-AJ24)/30)*COSTOS!AI62</f>
        <v>0</v>
      </c>
      <c r="AL25" s="37">
        <f>((AL10+AL24-AK24)/30)*COSTOS!AJ62</f>
        <v>0</v>
      </c>
      <c r="AM25" s="37">
        <f>((AM10+AM24-AL24)/30)*COSTOS!AK62</f>
        <v>0</v>
      </c>
      <c r="AN25" s="37">
        <f>((AN10+AN24-AM24)/30)*COSTOS!AL62</f>
        <v>0</v>
      </c>
      <c r="AO25" s="37">
        <f>((AO10+AO24-AN24)/30)*COSTOS!AM62</f>
        <v>0</v>
      </c>
      <c r="AP25" s="37">
        <f>((AP10+AP24-AO24)/30)*COSTOS!AN62</f>
        <v>0</v>
      </c>
      <c r="AQ25" s="37">
        <f>((AQ10+AQ24-AP24)/30)*COSTOS!AO62</f>
        <v>0</v>
      </c>
      <c r="AR25" s="37">
        <f>((AR10+AR24-AQ24)/30)*COSTOS!AP62</f>
        <v>0</v>
      </c>
      <c r="AS25" s="37">
        <f>((AS10+AS24-AR24)/30)*COSTOS!AQ62</f>
        <v>0</v>
      </c>
      <c r="AT25" s="37">
        <f>((AT10+AT24-AS24)/30)*COSTOS!AR62</f>
        <v>0</v>
      </c>
      <c r="AU25" s="37">
        <f>((AU10+AU24-AT24)/30)*COSTOS!AS62</f>
        <v>0</v>
      </c>
      <c r="AV25" s="37">
        <f>((AV10+AV24-AU24)/30)*COSTOS!AT62</f>
        <v>0</v>
      </c>
      <c r="AW25" s="37">
        <f>((AW10+AW24-AV24)/30)*COSTOS!AU62</f>
        <v>0</v>
      </c>
      <c r="AX25" s="37">
        <f>((AX10+AX24-AW24)/30)*COSTOS!AV62</f>
        <v>0</v>
      </c>
      <c r="AY25" s="37">
        <f>((AY10+AY24-AX24)/30)*COSTOS!AW62</f>
        <v>0</v>
      </c>
      <c r="AZ25" s="37">
        <f>((AZ10+AZ24-AY24)/30)*COSTOS!AX62</f>
        <v>0</v>
      </c>
      <c r="BA25" s="37">
        <f>((BA10+BA24-AZ24)/30)*COSTOS!AY62</f>
        <v>0</v>
      </c>
      <c r="BB25" s="37">
        <f>((BB10+BB24-BA24)/30)*COSTOS!AZ62</f>
        <v>0</v>
      </c>
      <c r="BC25" s="37">
        <f>((BC10+BC24-BB24)/30)*COSTOS!BA62</f>
        <v>0</v>
      </c>
      <c r="BD25" s="37">
        <f>((BD10+BD24-BC24)/30)*COSTOS!BB62</f>
        <v>0</v>
      </c>
      <c r="BE25" s="37">
        <f>((BE10+BE24-BD24)/30)*COSTOS!BC62</f>
        <v>0</v>
      </c>
      <c r="BF25" s="37">
        <f>((BF10+BF24-BE24)/30)*COSTOS!BD62</f>
        <v>0</v>
      </c>
      <c r="BG25" s="37">
        <f>((BG10+BG24-BF24)/30)*COSTOS!BE62</f>
        <v>0</v>
      </c>
      <c r="BH25" s="37">
        <f>((BH10+BH24-BG24)/30)*COSTOS!BF62</f>
        <v>0</v>
      </c>
      <c r="BI25" s="37">
        <f>((BI10+BI24-BH24)/30)*COSTOS!BG62</f>
        <v>0</v>
      </c>
      <c r="BJ25" s="37">
        <f>((BJ10+BJ24-BI24)/30)*COSTOS!BH62</f>
        <v>0</v>
      </c>
      <c r="BK25" s="37">
        <f>((BK10+BK24-BJ24)/30)*COSTOS!BI62</f>
        <v>0</v>
      </c>
    </row>
    <row r="26" spans="1:63" x14ac:dyDescent="0.3">
      <c r="A26" s="115" t="s">
        <v>249</v>
      </c>
      <c r="B26" s="116"/>
      <c r="C26" s="37"/>
      <c r="D26" s="37">
        <f>SUM($C$18:D18)</f>
        <v>0</v>
      </c>
      <c r="E26" s="37">
        <f>SUM($C$18:E18)</f>
        <v>0</v>
      </c>
      <c r="F26" s="37">
        <f>SUM($C$18:F18)</f>
        <v>0</v>
      </c>
      <c r="G26" s="37">
        <f>SUM($C$18:G18)</f>
        <v>0</v>
      </c>
      <c r="H26" s="37">
        <f>SUM($C$18:H18)</f>
        <v>0</v>
      </c>
      <c r="I26" s="37">
        <f>SUM($C$18:I18)</f>
        <v>0</v>
      </c>
      <c r="J26" s="37">
        <f>SUM($C$18:J18)</f>
        <v>0</v>
      </c>
      <c r="K26" s="37">
        <f>SUM($C$18:K18)</f>
        <v>0</v>
      </c>
      <c r="L26" s="37">
        <f>SUM($C$18:L18)</f>
        <v>0</v>
      </c>
      <c r="M26" s="37">
        <f>SUM($C$18:M18)</f>
        <v>0</v>
      </c>
      <c r="N26" s="37">
        <f>SUM($C$18:N18)</f>
        <v>0</v>
      </c>
      <c r="O26" s="37">
        <f>SUM($C$18:O18)</f>
        <v>0</v>
      </c>
      <c r="P26" s="37">
        <f>SUM($P$18:P18)</f>
        <v>0</v>
      </c>
      <c r="Q26" s="37">
        <f>SUM($P$18:Q18)</f>
        <v>0</v>
      </c>
      <c r="R26" s="37">
        <f>SUM($P$18:R18)</f>
        <v>0</v>
      </c>
      <c r="S26" s="37">
        <f>SUM($P$18:S18)</f>
        <v>0</v>
      </c>
      <c r="T26" s="37">
        <f>SUM($P$18:T18)</f>
        <v>0</v>
      </c>
      <c r="U26" s="37">
        <f>SUM($P$18:U18)</f>
        <v>0</v>
      </c>
      <c r="V26" s="37">
        <f>SUM($P$18:V18)</f>
        <v>0</v>
      </c>
      <c r="W26" s="37">
        <f>SUM($P$18:W18)</f>
        <v>0</v>
      </c>
      <c r="X26" s="37">
        <f>SUM($P$18:X18)</f>
        <v>0</v>
      </c>
      <c r="Y26" s="37">
        <f>SUM($P$18:Y18)</f>
        <v>0</v>
      </c>
      <c r="Z26" s="37">
        <f>SUM($P$18:Z18)</f>
        <v>0</v>
      </c>
      <c r="AA26" s="37">
        <f>SUM($P$18:AA18)</f>
        <v>0</v>
      </c>
      <c r="AB26" s="37">
        <f>SUM($AB$18:AB18)</f>
        <v>0</v>
      </c>
      <c r="AC26" s="37">
        <f>SUM($AB$18:AC18)</f>
        <v>0</v>
      </c>
      <c r="AD26" s="37">
        <f>SUM($AB$18:AD18)</f>
        <v>0</v>
      </c>
      <c r="AE26" s="37">
        <f>SUM($AB$18:AE18)</f>
        <v>0</v>
      </c>
      <c r="AF26" s="37">
        <f>SUM($AB$18:AF18)</f>
        <v>0</v>
      </c>
      <c r="AG26" s="37">
        <f>SUM($AB$18:AG18)</f>
        <v>0</v>
      </c>
      <c r="AH26" s="37">
        <f>SUM($AB$18:AH18)</f>
        <v>0</v>
      </c>
      <c r="AI26" s="37">
        <f>SUM($AB$18:AI18)</f>
        <v>620951.56666666747</v>
      </c>
      <c r="AJ26" s="37">
        <f>SUM($AB$18:AJ18)</f>
        <v>2067085.5333333351</v>
      </c>
      <c r="AK26" s="37">
        <f>SUM($AB$18:AK18)</f>
        <v>4338401.9000000022</v>
      </c>
      <c r="AL26" s="37">
        <f>SUM($AB$18:AL18)</f>
        <v>7434900.6666666698</v>
      </c>
      <c r="AM26" s="37">
        <f>SUM($AB$18:AM18)</f>
        <v>11494112.233333338</v>
      </c>
      <c r="AN26" s="37">
        <f>SUM($AN$18:AN18)</f>
        <v>482355.76666666882</v>
      </c>
      <c r="AO26" s="37">
        <f>SUM($AN$18:AO18)</f>
        <v>1927424.3333333377</v>
      </c>
      <c r="AP26" s="37">
        <f>SUM($AN$18:AP18)</f>
        <v>4335205.7000000067</v>
      </c>
      <c r="AQ26" s="37">
        <f>SUM($AN$18:AQ18)</f>
        <v>7843230.266666675</v>
      </c>
      <c r="AR26" s="37">
        <f>SUM($AN$18:AR18)</f>
        <v>12451498.033333343</v>
      </c>
      <c r="AS26" s="37">
        <f>SUM($AN$18:AS18)</f>
        <v>18160009.000000011</v>
      </c>
      <c r="AT26" s="37">
        <f>SUM($AN$18:AT18)</f>
        <v>24968763.166666679</v>
      </c>
      <c r="AU26" s="37">
        <f>SUM($AN$18:AU18)</f>
        <v>32877760.533333346</v>
      </c>
      <c r="AV26" s="37">
        <f>SUM($AN$18:AV18)</f>
        <v>41887001.100000016</v>
      </c>
      <c r="AW26" s="37">
        <f>SUM($AN$18:AW18)</f>
        <v>52134015.266666681</v>
      </c>
      <c r="AX26" s="37">
        <f>SUM($AN$18:AX18)</f>
        <v>63618803.033333346</v>
      </c>
      <c r="AY26" s="37">
        <f>SUM($AN$18:AY18)</f>
        <v>76478894.800000012</v>
      </c>
      <c r="AZ26" s="37">
        <f>SUM($AZ$18:AZ18)</f>
        <v>14076355.766666669</v>
      </c>
      <c r="BA26" s="37">
        <f>SUM($AZ$18:BA18)</f>
        <v>14076355.766666669</v>
      </c>
      <c r="BB26" s="37">
        <f>SUM($AZ$18:BB18)</f>
        <v>14076355.766666669</v>
      </c>
      <c r="BC26" s="37">
        <f>SUM($AZ$18:BC18)</f>
        <v>14076355.766666669</v>
      </c>
      <c r="BD26" s="37">
        <f>SUM($AZ$18:BD18)</f>
        <v>14076355.766666669</v>
      </c>
      <c r="BE26" s="37">
        <f>SUM($AZ$18:BE18)</f>
        <v>14076355.766666669</v>
      </c>
      <c r="BF26" s="37">
        <f>SUM($AZ$18:BF18)</f>
        <v>14076355.766666669</v>
      </c>
      <c r="BG26" s="37">
        <f>SUM($AZ$18:BG18)</f>
        <v>14076355.766666669</v>
      </c>
      <c r="BH26" s="37">
        <f>SUM($AZ$18:BH18)</f>
        <v>14076355.766666669</v>
      </c>
      <c r="BI26" s="37">
        <f>SUM($AZ$18:BI18)</f>
        <v>14076355.766666669</v>
      </c>
      <c r="BJ26" s="37">
        <f>SUM($AZ$18:BJ18)</f>
        <v>14076355.766666669</v>
      </c>
      <c r="BK26" s="37">
        <f>SUM($AZ$18:BK18)</f>
        <v>14076355.766666669</v>
      </c>
    </row>
    <row r="27" spans="1:63" x14ac:dyDescent="0.3">
      <c r="A27" s="115" t="s">
        <v>250</v>
      </c>
      <c r="B27" s="116"/>
      <c r="C27" s="36"/>
      <c r="D27" s="37">
        <f>GASTOS!B87</f>
        <v>586250</v>
      </c>
      <c r="E27" s="37">
        <f>GASTOS!C87</f>
        <v>1172500</v>
      </c>
      <c r="F27" s="37">
        <f>GASTOS!D87</f>
        <v>1758749.9999999998</v>
      </c>
      <c r="G27" s="37">
        <f>GASTOS!E87</f>
        <v>2345000</v>
      </c>
      <c r="H27" s="37">
        <f>GASTOS!F87</f>
        <v>2931249.9999999991</v>
      </c>
      <c r="I27" s="37">
        <f>GASTOS!G87</f>
        <v>3517499.9999999991</v>
      </c>
      <c r="J27" s="37">
        <f>GASTOS!H87</f>
        <v>2353749.9999999995</v>
      </c>
      <c r="K27" s="37">
        <f>GASTOS!I87</f>
        <v>2939999.9999999991</v>
      </c>
      <c r="L27" s="37">
        <f>GASTOS!J87</f>
        <v>3526249.9999999991</v>
      </c>
      <c r="M27" s="37">
        <f>GASTOS!K87</f>
        <v>4112499.9999999986</v>
      </c>
      <c r="N27" s="37">
        <f>GASTOS!L87</f>
        <v>4698749.9999999981</v>
      </c>
      <c r="O27" s="37">
        <f>GASTOS!M87</f>
        <v>5284999.9999999981</v>
      </c>
      <c r="P27" s="37">
        <f>GASTOS!N87</f>
        <v>1658249.9999999998</v>
      </c>
      <c r="Q27" s="37">
        <f>GASTOS!O87</f>
        <v>3316499.9999999995</v>
      </c>
      <c r="R27" s="37">
        <f>GASTOS!P87</f>
        <v>4974750</v>
      </c>
      <c r="S27" s="37">
        <f>GASTOS!Q87</f>
        <v>6632999.9999999991</v>
      </c>
      <c r="T27" s="37">
        <f>GASTOS!R87</f>
        <v>8291249.9999999981</v>
      </c>
      <c r="U27" s="37">
        <f>GASTOS!S87</f>
        <v>9949499.9999999981</v>
      </c>
      <c r="V27" s="37">
        <f>GASTOS!T87</f>
        <v>6657749.9999999991</v>
      </c>
      <c r="W27" s="37">
        <f>GASTOS!U87</f>
        <v>8315999.9999999991</v>
      </c>
      <c r="X27" s="37">
        <f>GASTOS!V87</f>
        <v>9974250</v>
      </c>
      <c r="Y27" s="37">
        <f>GASTOS!W87</f>
        <v>11632500</v>
      </c>
      <c r="Z27" s="37">
        <f>GASTOS!X87</f>
        <v>13290749.999999998</v>
      </c>
      <c r="AA27" s="37">
        <f>GASTOS!Y87</f>
        <v>14949000</v>
      </c>
      <c r="AB27" s="37">
        <f>GASTOS!Z87</f>
        <v>3031750</v>
      </c>
      <c r="AC27" s="37">
        <f>GASTOS!AA87</f>
        <v>6063500</v>
      </c>
      <c r="AD27" s="37">
        <f>GASTOS!AB87</f>
        <v>9095250</v>
      </c>
      <c r="AE27" s="37">
        <f>GASTOS!AC87</f>
        <v>12127000</v>
      </c>
      <c r="AF27" s="37">
        <f>GASTOS!AD87</f>
        <v>15158750</v>
      </c>
      <c r="AG27" s="37">
        <f>GASTOS!AE87</f>
        <v>18190500</v>
      </c>
      <c r="AH27" s="37">
        <f>GASTOS!AF87</f>
        <v>12172249.999999998</v>
      </c>
      <c r="AI27" s="37">
        <f>GASTOS!AG87</f>
        <v>15203999.999999998</v>
      </c>
      <c r="AJ27" s="37">
        <f>GASTOS!AH87</f>
        <v>18235750</v>
      </c>
      <c r="AK27" s="37">
        <f>GASTOS!AI87</f>
        <v>21267500</v>
      </c>
      <c r="AL27" s="37">
        <f>GASTOS!AJ87</f>
        <v>24299250</v>
      </c>
      <c r="AM27" s="37">
        <f>GASTOS!AK87</f>
        <v>27331000</v>
      </c>
      <c r="AN27" s="37">
        <f>GASTOS!AL87</f>
        <v>4438750</v>
      </c>
      <c r="AO27" s="37">
        <f>GASTOS!AM87</f>
        <v>8877500</v>
      </c>
      <c r="AP27" s="37">
        <f>GASTOS!AN87</f>
        <v>13316250</v>
      </c>
      <c r="AQ27" s="37">
        <f>GASTOS!AO87</f>
        <v>17755000</v>
      </c>
      <c r="AR27" s="37">
        <f>GASTOS!AP87</f>
        <v>22193749.999999996</v>
      </c>
      <c r="AS27" s="37">
        <f>GASTOS!AQ87</f>
        <v>26632499.999999996</v>
      </c>
      <c r="AT27" s="37">
        <f>GASTOS!AR87</f>
        <v>17821249.999999996</v>
      </c>
      <c r="AU27" s="37">
        <f>GASTOS!AS87</f>
        <v>22259999.999999993</v>
      </c>
      <c r="AV27" s="37">
        <f>GASTOS!AT87</f>
        <v>26698749.999999996</v>
      </c>
      <c r="AW27" s="37">
        <f>GASTOS!AU87</f>
        <v>31137499.999999996</v>
      </c>
      <c r="AX27" s="37">
        <f>GASTOS!AV87</f>
        <v>35576249.999999993</v>
      </c>
      <c r="AY27" s="37">
        <f>GASTOS!AW87</f>
        <v>40015000</v>
      </c>
      <c r="AZ27" s="37">
        <f>GASTOS!AX87</f>
        <v>4438750</v>
      </c>
      <c r="BA27" s="37">
        <f>GASTOS!AY87</f>
        <v>4438750</v>
      </c>
      <c r="BB27" s="37">
        <f>GASTOS!AZ87</f>
        <v>4438750</v>
      </c>
      <c r="BC27" s="37">
        <f>GASTOS!BA87</f>
        <v>4438750</v>
      </c>
      <c r="BD27" s="37">
        <f>GASTOS!BB87</f>
        <v>4438750</v>
      </c>
      <c r="BE27" s="37">
        <f>GASTOS!BC87</f>
        <v>4438750</v>
      </c>
      <c r="BF27" s="37">
        <f>GASTOS!BD87</f>
        <v>2230416.6666666665</v>
      </c>
      <c r="BG27" s="37">
        <f>GASTOS!BE87</f>
        <v>2230416.6666666665</v>
      </c>
      <c r="BH27" s="37">
        <f>GASTOS!BF87</f>
        <v>2230416.6666666665</v>
      </c>
      <c r="BI27" s="37">
        <f>GASTOS!BG87</f>
        <v>2230416.6666666665</v>
      </c>
      <c r="BJ27" s="37">
        <f>GASTOS!BH87</f>
        <v>2230416.6666666665</v>
      </c>
      <c r="BK27" s="37">
        <f>GASTOS!BI87</f>
        <v>2230416.6666666665</v>
      </c>
    </row>
    <row r="28" spans="1:63" s="99" customFormat="1" x14ac:dyDescent="0.3">
      <c r="A28" s="100" t="s">
        <v>251</v>
      </c>
      <c r="B28" s="101"/>
      <c r="C28" s="102"/>
      <c r="D28" s="97">
        <f>IF(SUM($C$19:C19)&gt;0,SUM($C$19:C19)*(1-FINANCIACIÓN!C28),0)</f>
        <v>0</v>
      </c>
      <c r="E28" s="97">
        <f>IF(SUM($C$19:D19)&gt;0,SUM($C$19:D19)*(1-FINANCIACIÓN!D28),0)</f>
        <v>0</v>
      </c>
      <c r="F28" s="97">
        <f>IF(SUM($C$19:E19)&gt;0,SUM($C$19:E19)*(1-FINANCIACIÓN!E28),0)</f>
        <v>0</v>
      </c>
      <c r="G28" s="97">
        <f>IF(SUM($C$19:F19)&gt;0,SUM($C$19:F19)*(1-FINANCIACIÓN!F28),0)</f>
        <v>0</v>
      </c>
      <c r="H28" s="97">
        <f>IF(SUM($C$19:G19)&gt;0,SUM($C$19:G19)*(1-FINANCIACIÓN!G28),0)</f>
        <v>0</v>
      </c>
      <c r="I28" s="97">
        <f>IF(SUM($C$19:H19)&gt;0,SUM($C$19:H19)*(1-FINANCIACIÓN!H28),0)</f>
        <v>0</v>
      </c>
      <c r="J28" s="97">
        <f>IF(SUM($C$19:I19)&gt;0,SUM($C$19:I19)*(1-FINANCIACIÓN!I28),0)</f>
        <v>0</v>
      </c>
      <c r="K28" s="97">
        <f>IF(SUM($C$19:J19)&gt;0,SUM($C$19:J19)*(1-FINANCIACIÓN!J28),0)</f>
        <v>0</v>
      </c>
      <c r="L28" s="97">
        <f>IF(SUM($C$19:K19)&gt;0,SUM($C$19:K19)*(1-FINANCIACIÓN!K28),0)</f>
        <v>0</v>
      </c>
      <c r="M28" s="97">
        <f>IF(SUM($C$19:L19)&gt;0,SUM($C$19:L19)*(1-FINANCIACIÓN!L28),0)</f>
        <v>0</v>
      </c>
      <c r="N28" s="97">
        <f>IF(SUM($C$19:M19)&gt;0,SUM($C$19:M19)*(1-FINANCIACIÓN!M28),0)</f>
        <v>0</v>
      </c>
      <c r="O28" s="97">
        <f>IF(SUM($C$19:N19)&gt;0,SUM($C$19:N19)*(1-FINANCIACIÓN!N28),0)</f>
        <v>0</v>
      </c>
      <c r="P28" s="97">
        <f>IF(SUM($C$19:O19)&gt;0,SUM($C$19:O19)*(1-FINANCIACIÓN!O28),0)</f>
        <v>0</v>
      </c>
      <c r="Q28" s="97">
        <f>IF(SUM($P$19:P19)&gt;0,SUM($P$19:P19)*(1-FINANCIACIÓN!P28),0)</f>
        <v>0</v>
      </c>
      <c r="R28" s="97">
        <f>IF(SUM($P$19:Q19)&gt;0,SUM($P$19:Q19)*(1-FINANCIACIÓN!Q28),0)</f>
        <v>0</v>
      </c>
      <c r="S28" s="97">
        <f>IF(SUM($P$19:R19)&gt;0,SUM($P$19:R19)*(1-FINANCIACIÓN!R28),0)</f>
        <v>0</v>
      </c>
      <c r="T28" s="97">
        <f>IF(SUM($P$19:S19)&gt;0,SUM($P$19:S19)*(1-FINANCIACIÓN!S28),0)</f>
        <v>0</v>
      </c>
      <c r="U28" s="97">
        <f>IF(SUM($P$19:T19)&gt;0,SUM($P$19:T19)*(1-FINANCIACIÓN!T28),0)</f>
        <v>0</v>
      </c>
      <c r="V28" s="97">
        <f>IF(SUM($P$19:U19)&gt;0,SUM($P$19:U19)*(1-FINANCIACIÓN!U28),0)</f>
        <v>0</v>
      </c>
      <c r="W28" s="97">
        <f>IF(SUM($P$19:V19)&gt;0,SUM($P$19:V19)*(1-FINANCIACIÓN!V28),0)</f>
        <v>0</v>
      </c>
      <c r="X28" s="97">
        <f>IF(SUM($P$19:W19)&gt;0,SUM($P$19:W19)*(1-FINANCIACIÓN!W28),0)</f>
        <v>0</v>
      </c>
      <c r="Y28" s="97">
        <f>IF(SUM($P$19:X19)&gt;0,SUM($P$19:X19)*(1-FINANCIACIÓN!X28),0)</f>
        <v>0</v>
      </c>
      <c r="Z28" s="97">
        <f>IF(SUM($P$19:Y19)&gt;0,SUM($P$19:Y19)*(1-FINANCIACIÓN!Y28),0)</f>
        <v>0</v>
      </c>
      <c r="AA28" s="97">
        <f>IF(SUM($P$19:Z19)&gt;0,SUM($P$19:Z19)*(1-FINANCIACIÓN!Z28),0)</f>
        <v>0</v>
      </c>
      <c r="AB28" s="97">
        <f>IF(SUM($P$19:AA19)&gt;0,SUM($P$19:AA19)*(1-FINANCIACIÓN!AA28),0)</f>
        <v>0</v>
      </c>
      <c r="AC28" s="97">
        <f>IF(SUM($AB$19:AB19)&gt;0,SUM($AB$19:AB19)*(1-FINANCIACIÓN!AB28),0)</f>
        <v>0</v>
      </c>
      <c r="AD28" s="97">
        <f>IF(SUM($AB$19:AC19)&gt;0,SUM($AB$19:AC19)*(1-FINANCIACIÓN!AC28),0)</f>
        <v>0</v>
      </c>
      <c r="AE28" s="97">
        <f>IF(SUM($AB$19:AD19)&gt;0,SUM($AB$19:AD19)*(1-FINANCIACIÓN!AD28),0)</f>
        <v>0</v>
      </c>
      <c r="AF28" s="97">
        <f>IF(SUM($AB$19:AE19)&gt;0,SUM($AB$19:AE19)*(1-FINANCIACIÓN!AE28),0)</f>
        <v>0</v>
      </c>
      <c r="AG28" s="97">
        <f>IF(SUM($AB$19:AF19)&gt;0,SUM($AB$19:AF19)*(1-FINANCIACIÓN!AF28),0)</f>
        <v>0</v>
      </c>
      <c r="AH28" s="97">
        <f>IF(SUM($AB$19:AG19)&gt;0,SUM($AB$19:AG19)*(1-FINANCIACIÓN!AG28),0)</f>
        <v>0</v>
      </c>
      <c r="AI28" s="97">
        <f>IF(SUM($AB$19:AH19)&gt;0,SUM($AB$19:AH19)*(1-FINANCIACIÓN!AH28),0)</f>
        <v>0</v>
      </c>
      <c r="AJ28" s="97">
        <f>IF(SUM($AB$19:AI19)&gt;0,SUM($AB$19:AI19)*(1-FINANCIACIÓN!AI28),0)</f>
        <v>0</v>
      </c>
      <c r="AK28" s="97">
        <f>IF(SUM($AB$19:AJ19)&gt;0,SUM($AB$19:AJ19)*(1-FINANCIACIÓN!AJ28),0)</f>
        <v>0</v>
      </c>
      <c r="AL28" s="97">
        <f>IF(SUM($AB$19:AK19)&gt;0,SUM($AB$19:AK19)*(1-FINANCIACIÓN!AK28),0)</f>
        <v>0</v>
      </c>
      <c r="AM28" s="97">
        <f>IF(SUM($AB$19:AL19)&gt;0,SUM($AB$19:AL19)*(1-FINANCIACIÓN!AL28),0)</f>
        <v>0</v>
      </c>
      <c r="AN28" s="97">
        <f>IF(SUM($AB$19:AM19)&gt;0,SUM($AB$19:AM19)*(1-FINANCIACIÓN!AM28),0)</f>
        <v>0</v>
      </c>
      <c r="AO28" s="97" t="e">
        <f>IF(SUM($AN$19:AN19)&gt;0,SUM($AN$19:AN19)*(1-FINANCIACIÓN!AN28),0)</f>
        <v>#REF!</v>
      </c>
      <c r="AP28" s="97" t="e">
        <f>IF(SUM($AN$19:AO19)&gt;0,SUM($AN$19:AO19)*(1-FINANCIACIÓN!AO28),0)</f>
        <v>#REF!</v>
      </c>
      <c r="AQ28" s="97" t="e">
        <f>IF(SUM($AN$19:AP19)&gt;0,SUM($AN$19:AP19)*(1-FINANCIACIÓN!AP28),0)</f>
        <v>#REF!</v>
      </c>
      <c r="AR28" s="97" t="e">
        <f>IF(SUM($AN$19:AQ19)&gt;0,SUM($AN$19:AQ19)*(1-FINANCIACIÓN!AQ28),0)</f>
        <v>#REF!</v>
      </c>
      <c r="AS28" s="97" t="e">
        <f>IF(SUM($AN$19:AR19)&gt;0,SUM($AN$19:AR19)*(1-FINANCIACIÓN!AR28),0)</f>
        <v>#REF!</v>
      </c>
      <c r="AT28" s="97" t="e">
        <f>IF(SUM($AN$19:AS19)&gt;0,SUM($AN$19:AS19)*(1-FINANCIACIÓN!AS28),0)</f>
        <v>#REF!</v>
      </c>
      <c r="AU28" s="97" t="e">
        <f>IF(SUM($AN$19:AT19)&gt;0,SUM($AN$19:AT19)*(1-FINANCIACIÓN!AT28),0)</f>
        <v>#REF!</v>
      </c>
      <c r="AV28" s="97" t="e">
        <f>IF(SUM($AN$19:AU19)&gt;0,SUM($AN$19:AU19)*(1-FINANCIACIÓN!AU28),0)</f>
        <v>#REF!</v>
      </c>
      <c r="AW28" s="97" t="e">
        <f>IF(SUM($AN$19:AV19)&gt;0,SUM($AN$19:AV19)*(1-FINANCIACIÓN!AV28),0)</f>
        <v>#REF!</v>
      </c>
      <c r="AX28" s="97" t="e">
        <f>IF(SUM($AN$19:AW19)&gt;0,SUM($AN$19:AW19)*(1-FINANCIACIÓN!AW28),0)</f>
        <v>#REF!</v>
      </c>
      <c r="AY28" s="97" t="e">
        <f>IF(SUM($AN$19:AX19)&gt;0,SUM($AN$19:AX19)*(1-FINANCIACIÓN!AX28),0)</f>
        <v>#REF!</v>
      </c>
      <c r="AZ28" s="97" t="e">
        <f>IF(SUM($AN$19:AY19)&gt;0,SUM($AN$19:AY19)*(1-FINANCIACIÓN!AY28),0)</f>
        <v>#REF!</v>
      </c>
      <c r="BA28" s="97" t="e">
        <f>IF(SUM($AZ$19:AZ19)&gt;0,SUM($AZ$19:AZ19)*(1-FINANCIACIÓN!AZ28),0)</f>
        <v>#REF!</v>
      </c>
      <c r="BB28" s="97" t="e">
        <f>IF(SUM($AZ$19:BA19)&gt;0,SUM($AZ$19:BA19)*(1-FINANCIACIÓN!BA28),0)</f>
        <v>#REF!</v>
      </c>
      <c r="BC28" s="97" t="e">
        <f>IF(SUM($AZ$19:BB19)&gt;0,SUM($AZ$19:BB19)*(1-FINANCIACIÓN!BB28),0)</f>
        <v>#REF!</v>
      </c>
      <c r="BD28" s="97" t="e">
        <f>IF(SUM($AZ$19:BC19)&gt;0,SUM($AZ$19:BC19)*(1-FINANCIACIÓN!BC28),0)</f>
        <v>#REF!</v>
      </c>
      <c r="BE28" s="97" t="e">
        <f>IF(SUM($AZ$19:BD19)&gt;0,SUM($AZ$19:BD19)*(1-FINANCIACIÓN!BD28),0)</f>
        <v>#REF!</v>
      </c>
      <c r="BF28" s="97" t="e">
        <f>IF(SUM($AZ$19:BE19)&gt;0,SUM($AZ$19:BE19)*(1-FINANCIACIÓN!BE28),0)</f>
        <v>#REF!</v>
      </c>
      <c r="BG28" s="97" t="e">
        <f>IF(SUM($AZ$19:BF19)&gt;0,SUM($AZ$19:BF19)*(1-FINANCIACIÓN!BF28),0)</f>
        <v>#REF!</v>
      </c>
      <c r="BH28" s="97" t="e">
        <f>IF(SUM($AZ$19:BG19)&gt;0,SUM($AZ$19:BG19)*(1-FINANCIACIÓN!BG28),0)</f>
        <v>#REF!</v>
      </c>
      <c r="BI28" s="97" t="e">
        <f>IF(SUM($AZ$19:BH19)&gt;0,SUM($AZ$19:BH19)*(1-FINANCIACIÓN!BH28),0)</f>
        <v>#REF!</v>
      </c>
      <c r="BJ28" s="97" t="e">
        <f>IF(SUM($AZ$19:BI19)&gt;0,SUM($AZ$19:BI19)*(1-FINANCIACIÓN!BI28),0)</f>
        <v>#REF!</v>
      </c>
      <c r="BK28" s="97" t="e">
        <f>IF(SUM($AZ$19:BJ19)&gt;0,SUM($AZ$19:BJ19)*(1-FINANCIACIÓN!BJ28),0)</f>
        <v>#REF!</v>
      </c>
    </row>
    <row r="29" spans="1:63" x14ac:dyDescent="0.3">
      <c r="A29" s="115" t="s">
        <v>252</v>
      </c>
      <c r="B29" s="116"/>
      <c r="C29" s="36"/>
      <c r="D29" s="37">
        <f>SUM(D26:D28)</f>
        <v>586250</v>
      </c>
      <c r="E29" s="37">
        <f t="shared" ref="E29:BK29" si="4">SUM(E26:E28)</f>
        <v>1172500</v>
      </c>
      <c r="F29" s="37">
        <f t="shared" si="4"/>
        <v>1758749.9999999998</v>
      </c>
      <c r="G29" s="37">
        <f t="shared" si="4"/>
        <v>2345000</v>
      </c>
      <c r="H29" s="37">
        <f t="shared" si="4"/>
        <v>2931249.9999999991</v>
      </c>
      <c r="I29" s="37">
        <f t="shared" si="4"/>
        <v>3517499.9999999991</v>
      </c>
      <c r="J29" s="37">
        <f t="shared" si="4"/>
        <v>2353749.9999999995</v>
      </c>
      <c r="K29" s="37">
        <f t="shared" si="4"/>
        <v>2939999.9999999991</v>
      </c>
      <c r="L29" s="37">
        <f t="shared" si="4"/>
        <v>3526249.9999999991</v>
      </c>
      <c r="M29" s="37">
        <f t="shared" si="4"/>
        <v>4112499.9999999986</v>
      </c>
      <c r="N29" s="37">
        <f t="shared" si="4"/>
        <v>4698749.9999999981</v>
      </c>
      <c r="O29" s="37">
        <f t="shared" si="4"/>
        <v>5284999.9999999981</v>
      </c>
      <c r="P29" s="37">
        <f t="shared" si="4"/>
        <v>1658249.9999999998</v>
      </c>
      <c r="Q29" s="37">
        <f t="shared" si="4"/>
        <v>3316499.9999999995</v>
      </c>
      <c r="R29" s="37">
        <f t="shared" si="4"/>
        <v>4974750</v>
      </c>
      <c r="S29" s="37">
        <f t="shared" si="4"/>
        <v>6632999.9999999991</v>
      </c>
      <c r="T29" s="37">
        <f t="shared" si="4"/>
        <v>8291249.9999999981</v>
      </c>
      <c r="U29" s="37">
        <f t="shared" si="4"/>
        <v>9949499.9999999981</v>
      </c>
      <c r="V29" s="37">
        <f t="shared" si="4"/>
        <v>6657749.9999999991</v>
      </c>
      <c r="W29" s="37">
        <f t="shared" si="4"/>
        <v>8315999.9999999991</v>
      </c>
      <c r="X29" s="37">
        <f t="shared" si="4"/>
        <v>9974250</v>
      </c>
      <c r="Y29" s="37">
        <f t="shared" si="4"/>
        <v>11632500</v>
      </c>
      <c r="Z29" s="37">
        <f t="shared" si="4"/>
        <v>13290749.999999998</v>
      </c>
      <c r="AA29" s="37">
        <f t="shared" si="4"/>
        <v>14949000</v>
      </c>
      <c r="AB29" s="37">
        <f t="shared" si="4"/>
        <v>3031750</v>
      </c>
      <c r="AC29" s="37">
        <f t="shared" si="4"/>
        <v>6063500</v>
      </c>
      <c r="AD29" s="37">
        <f t="shared" si="4"/>
        <v>9095250</v>
      </c>
      <c r="AE29" s="37">
        <f t="shared" si="4"/>
        <v>12127000</v>
      </c>
      <c r="AF29" s="37">
        <f t="shared" si="4"/>
        <v>15158750</v>
      </c>
      <c r="AG29" s="37">
        <f t="shared" si="4"/>
        <v>18190500</v>
      </c>
      <c r="AH29" s="37">
        <f t="shared" si="4"/>
        <v>12172249.999999998</v>
      </c>
      <c r="AI29" s="37">
        <f t="shared" si="4"/>
        <v>15824951.566666666</v>
      </c>
      <c r="AJ29" s="37">
        <f t="shared" si="4"/>
        <v>20302835.533333335</v>
      </c>
      <c r="AK29" s="37">
        <f t="shared" si="4"/>
        <v>25605901.900000002</v>
      </c>
      <c r="AL29" s="37">
        <f t="shared" si="4"/>
        <v>31734150.666666672</v>
      </c>
      <c r="AM29" s="37">
        <f t="shared" si="4"/>
        <v>38825112.233333334</v>
      </c>
      <c r="AN29" s="37">
        <f t="shared" si="4"/>
        <v>4921105.7666666685</v>
      </c>
      <c r="AO29" s="37" t="e">
        <f t="shared" si="4"/>
        <v>#REF!</v>
      </c>
      <c r="AP29" s="37" t="e">
        <f t="shared" si="4"/>
        <v>#REF!</v>
      </c>
      <c r="AQ29" s="37" t="e">
        <f t="shared" si="4"/>
        <v>#REF!</v>
      </c>
      <c r="AR29" s="37" t="e">
        <f t="shared" si="4"/>
        <v>#REF!</v>
      </c>
      <c r="AS29" s="37" t="e">
        <f t="shared" si="4"/>
        <v>#REF!</v>
      </c>
      <c r="AT29" s="37" t="e">
        <f t="shared" si="4"/>
        <v>#REF!</v>
      </c>
      <c r="AU29" s="37" t="e">
        <f t="shared" si="4"/>
        <v>#REF!</v>
      </c>
      <c r="AV29" s="37" t="e">
        <f t="shared" si="4"/>
        <v>#REF!</v>
      </c>
      <c r="AW29" s="37" t="e">
        <f t="shared" si="4"/>
        <v>#REF!</v>
      </c>
      <c r="AX29" s="37" t="e">
        <f t="shared" si="4"/>
        <v>#REF!</v>
      </c>
      <c r="AY29" s="37" t="e">
        <f t="shared" si="4"/>
        <v>#REF!</v>
      </c>
      <c r="AZ29" s="37" t="e">
        <f t="shared" si="4"/>
        <v>#REF!</v>
      </c>
      <c r="BA29" s="37" t="e">
        <f t="shared" si="4"/>
        <v>#REF!</v>
      </c>
      <c r="BB29" s="37" t="e">
        <f t="shared" si="4"/>
        <v>#REF!</v>
      </c>
      <c r="BC29" s="37" t="e">
        <f t="shared" si="4"/>
        <v>#REF!</v>
      </c>
      <c r="BD29" s="37" t="e">
        <f t="shared" si="4"/>
        <v>#REF!</v>
      </c>
      <c r="BE29" s="37" t="e">
        <f t="shared" si="4"/>
        <v>#REF!</v>
      </c>
      <c r="BF29" s="37" t="e">
        <f t="shared" si="4"/>
        <v>#REF!</v>
      </c>
      <c r="BG29" s="37" t="e">
        <f t="shared" si="4"/>
        <v>#REF!</v>
      </c>
      <c r="BH29" s="37" t="e">
        <f t="shared" si="4"/>
        <v>#REF!</v>
      </c>
      <c r="BI29" s="37" t="e">
        <f t="shared" si="4"/>
        <v>#REF!</v>
      </c>
      <c r="BJ29" s="37" t="e">
        <f t="shared" si="4"/>
        <v>#REF!</v>
      </c>
      <c r="BK29" s="37" t="e">
        <f t="shared" si="4"/>
        <v>#REF!</v>
      </c>
    </row>
    <row r="31" spans="1:63" x14ac:dyDescent="0.3">
      <c r="A31" s="137" t="s">
        <v>253</v>
      </c>
      <c r="B31" s="138"/>
      <c r="C31" s="11"/>
      <c r="D31" s="103">
        <f>Año1</f>
        <v>2027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>
        <f>Año2</f>
        <v>2028</v>
      </c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>
        <f>Año3</f>
        <v>2029</v>
      </c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>
        <f>Año4</f>
        <v>2030</v>
      </c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>
        <f>Año5</f>
        <v>2031</v>
      </c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</row>
    <row r="32" spans="1:63" x14ac:dyDescent="0.3">
      <c r="A32" s="139"/>
      <c r="B32" s="140"/>
      <c r="C32" s="11" t="s">
        <v>196</v>
      </c>
      <c r="D32" s="4" t="s">
        <v>67</v>
      </c>
      <c r="E32" s="4" t="s">
        <v>68</v>
      </c>
      <c r="F32" s="4" t="s">
        <v>69</v>
      </c>
      <c r="G32" s="4" t="s">
        <v>70</v>
      </c>
      <c r="H32" s="4" t="s">
        <v>71</v>
      </c>
      <c r="I32" s="4" t="s">
        <v>72</v>
      </c>
      <c r="J32" s="4" t="s">
        <v>73</v>
      </c>
      <c r="K32" s="4" t="s">
        <v>74</v>
      </c>
      <c r="L32" s="4" t="s">
        <v>75</v>
      </c>
      <c r="M32" s="4" t="s">
        <v>76</v>
      </c>
      <c r="N32" s="4" t="s">
        <v>77</v>
      </c>
      <c r="O32" s="4" t="s">
        <v>78</v>
      </c>
      <c r="P32" s="4" t="s">
        <v>79</v>
      </c>
      <c r="Q32" s="4" t="s">
        <v>80</v>
      </c>
      <c r="R32" s="4" t="s">
        <v>81</v>
      </c>
      <c r="S32" s="4" t="s">
        <v>82</v>
      </c>
      <c r="T32" s="4" t="s">
        <v>83</v>
      </c>
      <c r="U32" s="4" t="s">
        <v>84</v>
      </c>
      <c r="V32" s="4" t="s">
        <v>85</v>
      </c>
      <c r="W32" s="4" t="s">
        <v>86</v>
      </c>
      <c r="X32" s="4" t="s">
        <v>87</v>
      </c>
      <c r="Y32" s="4" t="s">
        <v>88</v>
      </c>
      <c r="Z32" s="4" t="s">
        <v>89</v>
      </c>
      <c r="AA32" s="4" t="s">
        <v>90</v>
      </c>
      <c r="AB32" s="4" t="s">
        <v>91</v>
      </c>
      <c r="AC32" s="4" t="s">
        <v>92</v>
      </c>
      <c r="AD32" s="4" t="s">
        <v>93</v>
      </c>
      <c r="AE32" s="4" t="s">
        <v>94</v>
      </c>
      <c r="AF32" s="4" t="s">
        <v>95</v>
      </c>
      <c r="AG32" s="4" t="s">
        <v>96</v>
      </c>
      <c r="AH32" s="4" t="s">
        <v>97</v>
      </c>
      <c r="AI32" s="4" t="s">
        <v>98</v>
      </c>
      <c r="AJ32" s="4" t="s">
        <v>99</v>
      </c>
      <c r="AK32" s="4" t="s">
        <v>100</v>
      </c>
      <c r="AL32" s="4" t="s">
        <v>101</v>
      </c>
      <c r="AM32" s="4" t="s">
        <v>102</v>
      </c>
      <c r="AN32" s="4" t="s">
        <v>103</v>
      </c>
      <c r="AO32" s="4" t="s">
        <v>104</v>
      </c>
      <c r="AP32" s="4" t="s">
        <v>105</v>
      </c>
      <c r="AQ32" s="4" t="s">
        <v>106</v>
      </c>
      <c r="AR32" s="4" t="s">
        <v>107</v>
      </c>
      <c r="AS32" s="4" t="s">
        <v>108</v>
      </c>
      <c r="AT32" s="4" t="s">
        <v>109</v>
      </c>
      <c r="AU32" s="4" t="s">
        <v>110</v>
      </c>
      <c r="AV32" s="4" t="s">
        <v>111</v>
      </c>
      <c r="AW32" s="4" t="s">
        <v>112</v>
      </c>
      <c r="AX32" s="4" t="s">
        <v>113</v>
      </c>
      <c r="AY32" s="4" t="s">
        <v>114</v>
      </c>
      <c r="AZ32" s="4" t="s">
        <v>115</v>
      </c>
      <c r="BA32" s="4" t="s">
        <v>116</v>
      </c>
      <c r="BB32" s="4" t="s">
        <v>117</v>
      </c>
      <c r="BC32" s="4" t="s">
        <v>118</v>
      </c>
      <c r="BD32" s="4" t="s">
        <v>119</v>
      </c>
      <c r="BE32" s="4" t="s">
        <v>120</v>
      </c>
      <c r="BF32" s="4" t="s">
        <v>121</v>
      </c>
      <c r="BG32" s="4" t="s">
        <v>122</v>
      </c>
      <c r="BH32" s="4" t="s">
        <v>123</v>
      </c>
      <c r="BI32" s="4" t="s">
        <v>124</v>
      </c>
      <c r="BJ32" s="4" t="s">
        <v>125</v>
      </c>
      <c r="BK32" s="4" t="s">
        <v>126</v>
      </c>
    </row>
    <row r="33" spans="1:63" x14ac:dyDescent="0.3">
      <c r="A33" s="115" t="s">
        <v>254</v>
      </c>
      <c r="B33" s="116"/>
      <c r="C33" s="37">
        <f>C9-(C23)</f>
        <v>0</v>
      </c>
      <c r="D33" s="37">
        <f>D9-(D23-C23)</f>
        <v>400000</v>
      </c>
      <c r="E33" s="37">
        <f t="shared" ref="E33:BK33" si="5">E9-(E23-D23)</f>
        <v>600000</v>
      </c>
      <c r="F33" s="37">
        <f t="shared" si="5"/>
        <v>880000</v>
      </c>
      <c r="G33" s="37">
        <f t="shared" si="5"/>
        <v>1200000</v>
      </c>
      <c r="H33" s="37">
        <f t="shared" si="5"/>
        <v>1520000</v>
      </c>
      <c r="I33" s="37">
        <f t="shared" si="5"/>
        <v>1800000</v>
      </c>
      <c r="J33" s="37">
        <f t="shared" si="5"/>
        <v>2200000</v>
      </c>
      <c r="K33" s="37">
        <f t="shared" si="5"/>
        <v>2600000</v>
      </c>
      <c r="L33" s="37">
        <f t="shared" si="5"/>
        <v>3000000</v>
      </c>
      <c r="M33" s="37">
        <f t="shared" si="5"/>
        <v>3400000</v>
      </c>
      <c r="N33" s="37">
        <f t="shared" si="5"/>
        <v>3800000</v>
      </c>
      <c r="O33" s="37">
        <f t="shared" si="5"/>
        <v>4400000</v>
      </c>
      <c r="P33" s="37">
        <f t="shared" si="5"/>
        <v>5000000</v>
      </c>
      <c r="Q33" s="37">
        <f t="shared" si="5"/>
        <v>5800000</v>
      </c>
      <c r="R33" s="37">
        <f t="shared" si="5"/>
        <v>6600000</v>
      </c>
      <c r="S33" s="37">
        <f t="shared" si="5"/>
        <v>7400000</v>
      </c>
      <c r="T33" s="37">
        <f t="shared" si="5"/>
        <v>8400000</v>
      </c>
      <c r="U33" s="37">
        <f t="shared" si="5"/>
        <v>9400000</v>
      </c>
      <c r="V33" s="37">
        <f t="shared" si="5"/>
        <v>10400000</v>
      </c>
      <c r="W33" s="37">
        <f t="shared" si="5"/>
        <v>11600000</v>
      </c>
      <c r="X33" s="37">
        <f t="shared" si="5"/>
        <v>12800000</v>
      </c>
      <c r="Y33" s="37">
        <f t="shared" si="5"/>
        <v>14000000</v>
      </c>
      <c r="Z33" s="37">
        <f t="shared" si="5"/>
        <v>15200000</v>
      </c>
      <c r="AA33" s="37">
        <f t="shared" si="5"/>
        <v>16800000</v>
      </c>
      <c r="AB33" s="37">
        <f t="shared" si="5"/>
        <v>18400000</v>
      </c>
      <c r="AC33" s="37">
        <f t="shared" si="5"/>
        <v>20000000</v>
      </c>
      <c r="AD33" s="37">
        <f t="shared" si="5"/>
        <v>21800000</v>
      </c>
      <c r="AE33" s="37">
        <f t="shared" si="5"/>
        <v>23600000</v>
      </c>
      <c r="AF33" s="37">
        <f t="shared" si="5"/>
        <v>25600000</v>
      </c>
      <c r="AG33" s="37">
        <f t="shared" si="5"/>
        <v>27600000</v>
      </c>
      <c r="AH33" s="37">
        <f t="shared" si="5"/>
        <v>29800000</v>
      </c>
      <c r="AI33" s="37">
        <f t="shared" si="5"/>
        <v>32000000</v>
      </c>
      <c r="AJ33" s="37">
        <f t="shared" si="5"/>
        <v>34400000</v>
      </c>
      <c r="AK33" s="37">
        <f t="shared" si="5"/>
        <v>36800000</v>
      </c>
      <c r="AL33" s="37">
        <f t="shared" si="5"/>
        <v>39200000</v>
      </c>
      <c r="AM33" s="37">
        <f t="shared" si="5"/>
        <v>42000000</v>
      </c>
      <c r="AN33" s="37">
        <f t="shared" si="5"/>
        <v>44800000</v>
      </c>
      <c r="AO33" s="37">
        <f t="shared" si="5"/>
        <v>47600000</v>
      </c>
      <c r="AP33" s="37">
        <f t="shared" si="5"/>
        <v>50400000</v>
      </c>
      <c r="AQ33" s="37">
        <f t="shared" si="5"/>
        <v>53600000</v>
      </c>
      <c r="AR33" s="37">
        <f t="shared" si="5"/>
        <v>56800000</v>
      </c>
      <c r="AS33" s="37">
        <f t="shared" si="5"/>
        <v>60000000</v>
      </c>
      <c r="AT33" s="37">
        <f t="shared" si="5"/>
        <v>63200000</v>
      </c>
      <c r="AU33" s="37">
        <f t="shared" si="5"/>
        <v>66400000</v>
      </c>
      <c r="AV33" s="37">
        <f t="shared" si="5"/>
        <v>69600000</v>
      </c>
      <c r="AW33" s="37">
        <f t="shared" si="5"/>
        <v>73200000</v>
      </c>
      <c r="AX33" s="37">
        <f t="shared" si="5"/>
        <v>76800000</v>
      </c>
      <c r="AY33" s="37">
        <f t="shared" si="5"/>
        <v>80800000</v>
      </c>
      <c r="AZ33" s="37">
        <f t="shared" si="5"/>
        <v>84800000</v>
      </c>
      <c r="BA33" s="37">
        <f t="shared" si="5"/>
        <v>0</v>
      </c>
      <c r="BB33" s="37">
        <f t="shared" si="5"/>
        <v>0</v>
      </c>
      <c r="BC33" s="37">
        <f t="shared" si="5"/>
        <v>0</v>
      </c>
      <c r="BD33" s="37">
        <f t="shared" si="5"/>
        <v>0</v>
      </c>
      <c r="BE33" s="37">
        <f t="shared" si="5"/>
        <v>0</v>
      </c>
      <c r="BF33" s="37">
        <f t="shared" si="5"/>
        <v>0</v>
      </c>
      <c r="BG33" s="37">
        <f t="shared" si="5"/>
        <v>0</v>
      </c>
      <c r="BH33" s="37">
        <f t="shared" si="5"/>
        <v>0</v>
      </c>
      <c r="BI33" s="37">
        <f t="shared" si="5"/>
        <v>0</v>
      </c>
      <c r="BJ33" s="37">
        <f t="shared" si="5"/>
        <v>0</v>
      </c>
      <c r="BK33" s="37">
        <f t="shared" si="5"/>
        <v>0</v>
      </c>
    </row>
    <row r="34" spans="1:63" x14ac:dyDescent="0.3">
      <c r="A34" s="115" t="s">
        <v>255</v>
      </c>
      <c r="B34" s="116"/>
      <c r="C34" s="37">
        <f>(C10+C24-B24)-(C25-B25)</f>
        <v>0</v>
      </c>
      <c r="D34" s="37">
        <f>(D10+D24-C24)-(D25-C25)</f>
        <v>5612170.333333333</v>
      </c>
      <c r="E34" s="37">
        <f t="shared" ref="E34:BK34" si="6">(E10+E24-D24)-(E25-D25)</f>
        <v>5615490.333333333</v>
      </c>
      <c r="F34" s="37">
        <f t="shared" si="6"/>
        <v>5620138.333333333</v>
      </c>
      <c r="G34" s="37">
        <f t="shared" si="6"/>
        <v>5625450.333333333</v>
      </c>
      <c r="H34" s="37">
        <f t="shared" si="6"/>
        <v>5630762.333333333</v>
      </c>
      <c r="I34" s="37">
        <f t="shared" si="6"/>
        <v>5635410.333333333</v>
      </c>
      <c r="J34" s="37">
        <f t="shared" si="6"/>
        <v>5745800.333333333</v>
      </c>
      <c r="K34" s="37">
        <f t="shared" si="6"/>
        <v>5752440.333333333</v>
      </c>
      <c r="L34" s="37">
        <f t="shared" si="6"/>
        <v>5759080.333333333</v>
      </c>
      <c r="M34" s="37">
        <f t="shared" si="6"/>
        <v>5765720.333333333</v>
      </c>
      <c r="N34" s="37">
        <f t="shared" si="6"/>
        <v>5772360.333333333</v>
      </c>
      <c r="O34" s="37">
        <f t="shared" si="6"/>
        <v>5782320.333333333</v>
      </c>
      <c r="P34" s="37">
        <f t="shared" si="6"/>
        <v>11867447.333333332</v>
      </c>
      <c r="Q34" s="37">
        <f t="shared" si="6"/>
        <v>11881143.333333332</v>
      </c>
      <c r="R34" s="37">
        <f t="shared" si="6"/>
        <v>11894839.333333332</v>
      </c>
      <c r="S34" s="37">
        <f t="shared" si="6"/>
        <v>11908535.333333332</v>
      </c>
      <c r="T34" s="37">
        <f t="shared" si="6"/>
        <v>11925655.333333332</v>
      </c>
      <c r="U34" s="37">
        <f t="shared" si="6"/>
        <v>11942775.333333332</v>
      </c>
      <c r="V34" s="37">
        <f t="shared" si="6"/>
        <v>11959895.333333332</v>
      </c>
      <c r="W34" s="37">
        <f t="shared" si="6"/>
        <v>11980439.333333332</v>
      </c>
      <c r="X34" s="37">
        <f t="shared" si="6"/>
        <v>12000983.333333332</v>
      </c>
      <c r="Y34" s="37">
        <f t="shared" si="6"/>
        <v>12021527.333333332</v>
      </c>
      <c r="Z34" s="37">
        <f t="shared" si="6"/>
        <v>12042071.333333332</v>
      </c>
      <c r="AA34" s="37">
        <f t="shared" si="6"/>
        <v>12069463.333333332</v>
      </c>
      <c r="AB34" s="37">
        <f t="shared" si="6"/>
        <v>20974292.666666664</v>
      </c>
      <c r="AC34" s="37">
        <f t="shared" si="6"/>
        <v>21002516.666666664</v>
      </c>
      <c r="AD34" s="37">
        <f t="shared" si="6"/>
        <v>21034268.666666664</v>
      </c>
      <c r="AE34" s="37">
        <f t="shared" si="6"/>
        <v>21066020.666666664</v>
      </c>
      <c r="AF34" s="37">
        <f t="shared" si="6"/>
        <v>21101300.666666664</v>
      </c>
      <c r="AG34" s="37">
        <f t="shared" si="6"/>
        <v>21136580.666666664</v>
      </c>
      <c r="AH34" s="37">
        <f t="shared" si="6"/>
        <v>21175388.666666664</v>
      </c>
      <c r="AI34" s="37">
        <f t="shared" si="6"/>
        <v>21214196.666666664</v>
      </c>
      <c r="AJ34" s="37">
        <f t="shared" si="6"/>
        <v>21256532.666666664</v>
      </c>
      <c r="AK34" s="37">
        <f t="shared" si="6"/>
        <v>21298868.666666664</v>
      </c>
      <c r="AL34" s="37">
        <f t="shared" si="6"/>
        <v>21341204.666666664</v>
      </c>
      <c r="AM34" s="37">
        <f t="shared" si="6"/>
        <v>21390596.666666664</v>
      </c>
      <c r="AN34" s="37">
        <f t="shared" si="6"/>
        <v>33593507.333333328</v>
      </c>
      <c r="AO34" s="37">
        <f t="shared" si="6"/>
        <v>33642899.333333328</v>
      </c>
      <c r="AP34" s="37">
        <f t="shared" si="6"/>
        <v>33692291.333333328</v>
      </c>
      <c r="AQ34" s="37">
        <f t="shared" si="6"/>
        <v>33748739.333333328</v>
      </c>
      <c r="AR34" s="37">
        <f t="shared" si="6"/>
        <v>33805187.333333328</v>
      </c>
      <c r="AS34" s="37">
        <f t="shared" si="6"/>
        <v>33861635.333333328</v>
      </c>
      <c r="AT34" s="37">
        <f t="shared" si="6"/>
        <v>33918083.333333328</v>
      </c>
      <c r="AU34" s="37">
        <f t="shared" si="6"/>
        <v>33974531.333333328</v>
      </c>
      <c r="AV34" s="37">
        <f t="shared" si="6"/>
        <v>34030979.333333328</v>
      </c>
      <c r="AW34" s="37">
        <f t="shared" si="6"/>
        <v>34094483.333333328</v>
      </c>
      <c r="AX34" s="37">
        <f t="shared" si="6"/>
        <v>34157987.333333328</v>
      </c>
      <c r="AY34" s="37">
        <f t="shared" si="6"/>
        <v>34228547.333333328</v>
      </c>
      <c r="AZ34" s="37">
        <f t="shared" si="6"/>
        <v>34328707.333333328</v>
      </c>
      <c r="BA34" s="37">
        <f t="shared" si="6"/>
        <v>0</v>
      </c>
      <c r="BB34" s="37">
        <f t="shared" si="6"/>
        <v>0</v>
      </c>
      <c r="BC34" s="37">
        <f t="shared" si="6"/>
        <v>0</v>
      </c>
      <c r="BD34" s="37">
        <f t="shared" si="6"/>
        <v>0</v>
      </c>
      <c r="BE34" s="37">
        <f t="shared" si="6"/>
        <v>0</v>
      </c>
      <c r="BF34" s="37">
        <f t="shared" si="6"/>
        <v>0</v>
      </c>
      <c r="BG34" s="37">
        <f t="shared" si="6"/>
        <v>0</v>
      </c>
      <c r="BH34" s="37">
        <f t="shared" si="6"/>
        <v>0</v>
      </c>
      <c r="BI34" s="37">
        <f t="shared" si="6"/>
        <v>0</v>
      </c>
      <c r="BJ34" s="37">
        <f t="shared" si="6"/>
        <v>0</v>
      </c>
      <c r="BK34" s="37">
        <f t="shared" si="6"/>
        <v>0</v>
      </c>
    </row>
    <row r="35" spans="1:63" x14ac:dyDescent="0.3">
      <c r="A35" s="115" t="s">
        <v>256</v>
      </c>
      <c r="B35" s="116"/>
      <c r="C35" s="37">
        <f>(C12+C18+C13)-(C29-B29)</f>
        <v>2382000</v>
      </c>
      <c r="D35" s="37">
        <f>(D12+D18+D13)-(D29-C29)</f>
        <v>-269250</v>
      </c>
      <c r="E35" s="37">
        <f t="shared" ref="E35:BJ35" si="7">(E12+E18+E13)-(E29-D29)</f>
        <v>-269250</v>
      </c>
      <c r="F35" s="37">
        <f t="shared" si="7"/>
        <v>-269249.99999999977</v>
      </c>
      <c r="G35" s="37">
        <f t="shared" si="7"/>
        <v>-269250.00000000023</v>
      </c>
      <c r="H35" s="37">
        <f t="shared" si="7"/>
        <v>-269249.99999999907</v>
      </c>
      <c r="I35" s="37">
        <f t="shared" si="7"/>
        <v>-269250</v>
      </c>
      <c r="J35" s="37">
        <f t="shared" si="7"/>
        <v>1480749.9999999995</v>
      </c>
      <c r="K35" s="37">
        <f t="shared" si="7"/>
        <v>-269249.99999999953</v>
      </c>
      <c r="L35" s="37">
        <f t="shared" si="7"/>
        <v>-269250</v>
      </c>
      <c r="M35" s="37">
        <f t="shared" si="7"/>
        <v>-269249.99999999953</v>
      </c>
      <c r="N35" s="37">
        <f t="shared" si="7"/>
        <v>-269249.99999999953</v>
      </c>
      <c r="O35" s="37">
        <f t="shared" si="7"/>
        <v>-269250</v>
      </c>
      <c r="P35" s="37">
        <f t="shared" si="7"/>
        <v>8575016.6666666642</v>
      </c>
      <c r="Q35" s="37">
        <f t="shared" si="7"/>
        <v>3290016.666666666</v>
      </c>
      <c r="R35" s="37">
        <f t="shared" si="7"/>
        <v>3290016.6666666656</v>
      </c>
      <c r="S35" s="37">
        <f t="shared" si="7"/>
        <v>3290016.666666667</v>
      </c>
      <c r="T35" s="37">
        <f t="shared" si="7"/>
        <v>3290016.666666667</v>
      </c>
      <c r="U35" s="37">
        <f t="shared" si="7"/>
        <v>3290016.666666666</v>
      </c>
      <c r="V35" s="37">
        <f t="shared" si="7"/>
        <v>8240016.6666666651</v>
      </c>
      <c r="W35" s="37">
        <f t="shared" si="7"/>
        <v>3290016.666666666</v>
      </c>
      <c r="X35" s="37">
        <f t="shared" si="7"/>
        <v>3290016.6666666651</v>
      </c>
      <c r="Y35" s="37">
        <f t="shared" si="7"/>
        <v>3290016.666666666</v>
      </c>
      <c r="Z35" s="37">
        <f t="shared" si="7"/>
        <v>3290016.6666666679</v>
      </c>
      <c r="AA35" s="37">
        <f t="shared" si="7"/>
        <v>3290016.6666666642</v>
      </c>
      <c r="AB35" s="37">
        <f t="shared" si="7"/>
        <v>20928906</v>
      </c>
      <c r="AC35" s="37">
        <f t="shared" si="7"/>
        <v>5979906</v>
      </c>
      <c r="AD35" s="37">
        <f t="shared" si="7"/>
        <v>5979906</v>
      </c>
      <c r="AE35" s="37">
        <f t="shared" si="7"/>
        <v>5979906</v>
      </c>
      <c r="AF35" s="37">
        <f t="shared" si="7"/>
        <v>5979906</v>
      </c>
      <c r="AG35" s="37">
        <f t="shared" si="7"/>
        <v>5979906</v>
      </c>
      <c r="AH35" s="37">
        <f t="shared" si="7"/>
        <v>15029906.000000002</v>
      </c>
      <c r="AI35" s="37">
        <f t="shared" si="7"/>
        <v>5979906</v>
      </c>
      <c r="AJ35" s="37">
        <f t="shared" si="7"/>
        <v>5979905.9999999981</v>
      </c>
      <c r="AK35" s="37">
        <f t="shared" si="7"/>
        <v>5979906</v>
      </c>
      <c r="AL35" s="37">
        <f t="shared" si="7"/>
        <v>5979905.9999999981</v>
      </c>
      <c r="AM35" s="37">
        <f t="shared" si="7"/>
        <v>5979906.0000000037</v>
      </c>
      <c r="AN35" s="37">
        <f t="shared" si="7"/>
        <v>44214695.56666667</v>
      </c>
      <c r="AO35" s="37" t="e">
        <f t="shared" si="7"/>
        <v>#REF!</v>
      </c>
      <c r="AP35" s="37" t="e">
        <f t="shared" si="7"/>
        <v>#REF!</v>
      </c>
      <c r="AQ35" s="37" t="e">
        <f t="shared" si="7"/>
        <v>#REF!</v>
      </c>
      <c r="AR35" s="37" t="e">
        <f t="shared" si="7"/>
        <v>#REF!</v>
      </c>
      <c r="AS35" s="37" t="e">
        <f t="shared" si="7"/>
        <v>#REF!</v>
      </c>
      <c r="AT35" s="37" t="e">
        <f t="shared" si="7"/>
        <v>#REF!</v>
      </c>
      <c r="AU35" s="37" t="e">
        <f t="shared" si="7"/>
        <v>#REF!</v>
      </c>
      <c r="AV35" s="37" t="e">
        <f t="shared" si="7"/>
        <v>#REF!</v>
      </c>
      <c r="AW35" s="37" t="e">
        <f t="shared" si="7"/>
        <v>#REF!</v>
      </c>
      <c r="AX35" s="37" t="e">
        <f t="shared" si="7"/>
        <v>#REF!</v>
      </c>
      <c r="AY35" s="37" t="e">
        <f t="shared" si="7"/>
        <v>#REF!</v>
      </c>
      <c r="AZ35" s="37" t="e">
        <f t="shared" si="7"/>
        <v>#REF!</v>
      </c>
      <c r="BA35" s="37" t="e">
        <f t="shared" si="7"/>
        <v>#REF!</v>
      </c>
      <c r="BB35" s="37" t="e">
        <f t="shared" si="7"/>
        <v>#REF!</v>
      </c>
      <c r="BC35" s="37" t="e">
        <f t="shared" si="7"/>
        <v>#REF!</v>
      </c>
      <c r="BD35" s="37" t="e">
        <f t="shared" si="7"/>
        <v>#REF!</v>
      </c>
      <c r="BE35" s="37" t="e">
        <f t="shared" si="7"/>
        <v>#REF!</v>
      </c>
      <c r="BF35" s="37" t="e">
        <f t="shared" si="7"/>
        <v>#REF!</v>
      </c>
      <c r="BG35" s="37" t="e">
        <f t="shared" si="7"/>
        <v>#REF!</v>
      </c>
      <c r="BH35" s="37" t="e">
        <f t="shared" si="7"/>
        <v>#REF!</v>
      </c>
      <c r="BI35" s="37" t="e">
        <f t="shared" si="7"/>
        <v>#REF!</v>
      </c>
      <c r="BJ35" s="37" t="e">
        <f t="shared" si="7"/>
        <v>#REF!</v>
      </c>
      <c r="BK35" s="37" t="e">
        <f>(BK12+BK18+BK13)-(BK29-BJ29)</f>
        <v>#REF!</v>
      </c>
    </row>
    <row r="36" spans="1:63" s="42" customFormat="1" x14ac:dyDescent="0.3">
      <c r="A36" s="147" t="s">
        <v>257</v>
      </c>
      <c r="B36" s="148"/>
      <c r="C36" s="41">
        <f>C33-SUM(C34:C35)</f>
        <v>-2382000</v>
      </c>
      <c r="D36" s="41">
        <f t="shared" ref="D36:BK36" si="8">D33-SUM(D34:D35)</f>
        <v>-4942920.333333333</v>
      </c>
      <c r="E36" s="41">
        <f t="shared" si="8"/>
        <v>-4746240.333333333</v>
      </c>
      <c r="F36" s="41">
        <f t="shared" si="8"/>
        <v>-4470888.333333333</v>
      </c>
      <c r="G36" s="41">
        <f t="shared" si="8"/>
        <v>-4156200.333333333</v>
      </c>
      <c r="H36" s="41">
        <f t="shared" si="8"/>
        <v>-3841512.333333334</v>
      </c>
      <c r="I36" s="41">
        <f t="shared" si="8"/>
        <v>-3566160.333333333</v>
      </c>
      <c r="J36" s="41">
        <f t="shared" si="8"/>
        <v>-5026550.3333333321</v>
      </c>
      <c r="K36" s="41">
        <f t="shared" si="8"/>
        <v>-2883190.333333334</v>
      </c>
      <c r="L36" s="41">
        <f t="shared" si="8"/>
        <v>-2489830.333333333</v>
      </c>
      <c r="M36" s="41">
        <f t="shared" si="8"/>
        <v>-2096470.333333334</v>
      </c>
      <c r="N36" s="41">
        <f t="shared" si="8"/>
        <v>-1703110.333333334</v>
      </c>
      <c r="O36" s="41">
        <f t="shared" si="8"/>
        <v>-1113070.333333333</v>
      </c>
      <c r="P36" s="41">
        <f t="shared" si="8"/>
        <v>-15442463.999999996</v>
      </c>
      <c r="Q36" s="41">
        <f t="shared" si="8"/>
        <v>-9371159.9999999981</v>
      </c>
      <c r="R36" s="41">
        <f t="shared" si="8"/>
        <v>-8584855.9999999981</v>
      </c>
      <c r="S36" s="41">
        <f t="shared" si="8"/>
        <v>-7798552</v>
      </c>
      <c r="T36" s="41">
        <f t="shared" si="8"/>
        <v>-6815672</v>
      </c>
      <c r="U36" s="41">
        <f t="shared" si="8"/>
        <v>-5832791.9999999981</v>
      </c>
      <c r="V36" s="41">
        <f t="shared" si="8"/>
        <v>-9799911.9999999963</v>
      </c>
      <c r="W36" s="41">
        <f t="shared" si="8"/>
        <v>-3670455.9999999981</v>
      </c>
      <c r="X36" s="41">
        <f t="shared" si="8"/>
        <v>-2490999.9999999963</v>
      </c>
      <c r="Y36" s="41">
        <f t="shared" si="8"/>
        <v>-1311543.9999999981</v>
      </c>
      <c r="Z36" s="41">
        <f t="shared" si="8"/>
        <v>-132088</v>
      </c>
      <c r="AA36" s="41">
        <f t="shared" si="8"/>
        <v>1440520.0000000037</v>
      </c>
      <c r="AB36" s="41">
        <f t="shared" si="8"/>
        <v>-23503198.666666664</v>
      </c>
      <c r="AC36" s="41">
        <f t="shared" si="8"/>
        <v>-6982422.6666666642</v>
      </c>
      <c r="AD36" s="41">
        <f t="shared" si="8"/>
        <v>-5214174.6666666642</v>
      </c>
      <c r="AE36" s="41">
        <f t="shared" si="8"/>
        <v>-3445926.6666666642</v>
      </c>
      <c r="AF36" s="41">
        <f t="shared" si="8"/>
        <v>-1481206.6666666642</v>
      </c>
      <c r="AG36" s="41">
        <f t="shared" si="8"/>
        <v>483513.33333333582</v>
      </c>
      <c r="AH36" s="41">
        <f t="shared" si="8"/>
        <v>-6405294.6666666642</v>
      </c>
      <c r="AI36" s="41">
        <f t="shared" si="8"/>
        <v>4805897.3333333358</v>
      </c>
      <c r="AJ36" s="41">
        <f t="shared" si="8"/>
        <v>7163561.3333333358</v>
      </c>
      <c r="AK36" s="41">
        <f t="shared" si="8"/>
        <v>9521225.3333333358</v>
      </c>
      <c r="AL36" s="41">
        <f t="shared" si="8"/>
        <v>11878889.333333336</v>
      </c>
      <c r="AM36" s="41">
        <f t="shared" si="8"/>
        <v>14629497.333333332</v>
      </c>
      <c r="AN36" s="41">
        <f t="shared" si="8"/>
        <v>-33008202.900000006</v>
      </c>
      <c r="AO36" s="41" t="e">
        <f t="shared" si="8"/>
        <v>#REF!</v>
      </c>
      <c r="AP36" s="41" t="e">
        <f t="shared" si="8"/>
        <v>#REF!</v>
      </c>
      <c r="AQ36" s="41" t="e">
        <f t="shared" si="8"/>
        <v>#REF!</v>
      </c>
      <c r="AR36" s="41" t="e">
        <f t="shared" si="8"/>
        <v>#REF!</v>
      </c>
      <c r="AS36" s="41" t="e">
        <f t="shared" si="8"/>
        <v>#REF!</v>
      </c>
      <c r="AT36" s="41" t="e">
        <f t="shared" si="8"/>
        <v>#REF!</v>
      </c>
      <c r="AU36" s="41" t="e">
        <f t="shared" si="8"/>
        <v>#REF!</v>
      </c>
      <c r="AV36" s="41" t="e">
        <f t="shared" si="8"/>
        <v>#REF!</v>
      </c>
      <c r="AW36" s="41" t="e">
        <f t="shared" si="8"/>
        <v>#REF!</v>
      </c>
      <c r="AX36" s="41" t="e">
        <f t="shared" si="8"/>
        <v>#REF!</v>
      </c>
      <c r="AY36" s="41" t="e">
        <f t="shared" si="8"/>
        <v>#REF!</v>
      </c>
      <c r="AZ36" s="41" t="e">
        <f t="shared" si="8"/>
        <v>#REF!</v>
      </c>
      <c r="BA36" s="41" t="e">
        <f t="shared" si="8"/>
        <v>#REF!</v>
      </c>
      <c r="BB36" s="41" t="e">
        <f t="shared" si="8"/>
        <v>#REF!</v>
      </c>
      <c r="BC36" s="41" t="e">
        <f t="shared" si="8"/>
        <v>#REF!</v>
      </c>
      <c r="BD36" s="41" t="e">
        <f t="shared" si="8"/>
        <v>#REF!</v>
      </c>
      <c r="BE36" s="41" t="e">
        <f t="shared" si="8"/>
        <v>#REF!</v>
      </c>
      <c r="BF36" s="41" t="e">
        <f t="shared" si="8"/>
        <v>#REF!</v>
      </c>
      <c r="BG36" s="41" t="e">
        <f t="shared" si="8"/>
        <v>#REF!</v>
      </c>
      <c r="BH36" s="41" t="e">
        <f t="shared" si="8"/>
        <v>#REF!</v>
      </c>
      <c r="BI36" s="41" t="e">
        <f t="shared" si="8"/>
        <v>#REF!</v>
      </c>
      <c r="BJ36" s="41" t="e">
        <f t="shared" si="8"/>
        <v>#REF!</v>
      </c>
      <c r="BK36" s="41" t="e">
        <f t="shared" si="8"/>
        <v>#REF!</v>
      </c>
    </row>
    <row r="37" spans="1:63" x14ac:dyDescent="0.3">
      <c r="A37" s="149"/>
      <c r="B37" s="149"/>
      <c r="C37" s="40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149" t="s">
        <v>258</v>
      </c>
      <c r="B38" s="149"/>
      <c r="C38" s="40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8" t="s">
        <v>259</v>
      </c>
      <c r="B39" s="39"/>
      <c r="C39" s="40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8" t="s">
        <v>260</v>
      </c>
      <c r="B40" s="39"/>
      <c r="C40" s="40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145" t="s">
        <v>261</v>
      </c>
      <c r="B41" s="14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  <row r="42" spans="1:63" x14ac:dyDescent="0.3">
      <c r="A42" s="43" t="s">
        <v>262</v>
      </c>
      <c r="B42" s="44"/>
      <c r="C42" s="7">
        <f>INVERSIONES!C36</f>
        <v>0</v>
      </c>
      <c r="D42" s="7">
        <f>INVERSIONES!D36</f>
        <v>0</v>
      </c>
      <c r="E42" s="7">
        <f>INVERSIONES!E36</f>
        <v>0</v>
      </c>
      <c r="F42" s="7">
        <f>INVERSIONES!F36</f>
        <v>0</v>
      </c>
      <c r="G42" s="7">
        <f>INVERSIONES!G36</f>
        <v>0</v>
      </c>
      <c r="H42" s="7">
        <f>INVERSIONES!H36</f>
        <v>0</v>
      </c>
      <c r="I42" s="7">
        <f>INVERSIONES!I36</f>
        <v>0</v>
      </c>
      <c r="J42" s="7">
        <f>INVERSIONES!J36</f>
        <v>0</v>
      </c>
      <c r="K42" s="7">
        <f>INVERSIONES!K36</f>
        <v>0</v>
      </c>
      <c r="L42" s="7">
        <f>INVERSIONES!L36</f>
        <v>0</v>
      </c>
      <c r="M42" s="7">
        <f>INVERSIONES!M36</f>
        <v>0</v>
      </c>
      <c r="N42" s="7">
        <f>INVERSIONES!N36</f>
        <v>0</v>
      </c>
      <c r="O42" s="7">
        <f>INVERSIONES!O36</f>
        <v>0</v>
      </c>
      <c r="P42" s="7">
        <f>INVERSIONES!P36</f>
        <v>0</v>
      </c>
      <c r="Q42" s="7">
        <f>INVERSIONES!Q36</f>
        <v>0</v>
      </c>
      <c r="R42" s="7">
        <f>INVERSIONES!R36</f>
        <v>0</v>
      </c>
      <c r="S42" s="7">
        <f>INVERSIONES!S36</f>
        <v>0</v>
      </c>
      <c r="T42" s="7">
        <f>INVERSIONES!T36</f>
        <v>0</v>
      </c>
      <c r="U42" s="7">
        <f>INVERSIONES!U36</f>
        <v>0</v>
      </c>
      <c r="V42" s="7">
        <f>INVERSIONES!V36</f>
        <v>0</v>
      </c>
      <c r="W42" s="7">
        <f>INVERSIONES!W36</f>
        <v>0</v>
      </c>
      <c r="X42" s="7">
        <f>INVERSIONES!X36</f>
        <v>0</v>
      </c>
      <c r="Y42" s="7">
        <f>INVERSIONES!Y36</f>
        <v>0</v>
      </c>
      <c r="Z42" s="7">
        <f>INVERSIONES!Z36</f>
        <v>0</v>
      </c>
      <c r="AA42" s="7">
        <f>INVERSIONES!AA36</f>
        <v>0</v>
      </c>
      <c r="AB42" s="7">
        <f>INVERSIONES!AB36</f>
        <v>0</v>
      </c>
      <c r="AC42" s="7">
        <f>INVERSIONES!AC36</f>
        <v>0</v>
      </c>
      <c r="AD42" s="7">
        <f>INVERSIONES!AD36</f>
        <v>0</v>
      </c>
      <c r="AE42" s="7">
        <f>INVERSIONES!AE36</f>
        <v>0</v>
      </c>
      <c r="AF42" s="7">
        <f>INVERSIONES!AF36</f>
        <v>0</v>
      </c>
      <c r="AG42" s="7">
        <f>INVERSIONES!AG36</f>
        <v>0</v>
      </c>
      <c r="AH42" s="7">
        <f>INVERSIONES!AH36</f>
        <v>0</v>
      </c>
      <c r="AI42" s="7">
        <f>INVERSIONES!AI36</f>
        <v>0</v>
      </c>
      <c r="AJ42" s="7">
        <f>INVERSIONES!AJ36</f>
        <v>0</v>
      </c>
      <c r="AK42" s="7">
        <f>INVERSIONES!AK36</f>
        <v>0</v>
      </c>
      <c r="AL42" s="7">
        <f>INVERSIONES!AL36</f>
        <v>0</v>
      </c>
      <c r="AM42" s="7">
        <f>INVERSIONES!AM36</f>
        <v>0</v>
      </c>
      <c r="AN42" s="7">
        <f>INVERSIONES!AN36</f>
        <v>0</v>
      </c>
      <c r="AO42" s="7">
        <f>INVERSIONES!AO36</f>
        <v>0</v>
      </c>
      <c r="AP42" s="7">
        <f>INVERSIONES!AP36</f>
        <v>0</v>
      </c>
      <c r="AQ42" s="7">
        <f>INVERSIONES!AQ36</f>
        <v>0</v>
      </c>
      <c r="AR42" s="7">
        <f>INVERSIONES!AR36</f>
        <v>0</v>
      </c>
      <c r="AS42" s="7">
        <f>INVERSIONES!AS36</f>
        <v>0</v>
      </c>
      <c r="AT42" s="7">
        <f>INVERSIONES!AT36</f>
        <v>0</v>
      </c>
      <c r="AU42" s="7">
        <f>INVERSIONES!AU36</f>
        <v>0</v>
      </c>
      <c r="AV42" s="7">
        <f>INVERSIONES!AV36</f>
        <v>0</v>
      </c>
      <c r="AW42" s="7">
        <f>INVERSIONES!AW36</f>
        <v>0</v>
      </c>
      <c r="AX42" s="7">
        <f>INVERSIONES!AX36</f>
        <v>0</v>
      </c>
      <c r="AY42" s="7">
        <f>INVERSIONES!AY36</f>
        <v>0</v>
      </c>
      <c r="AZ42" s="7">
        <f>INVERSIONES!AZ36</f>
        <v>0</v>
      </c>
      <c r="BA42" s="7">
        <f>INVERSIONES!BA36</f>
        <v>0</v>
      </c>
      <c r="BB42" s="7">
        <f>INVERSIONES!BB36</f>
        <v>0</v>
      </c>
      <c r="BC42" s="7">
        <f>INVERSIONES!BC36</f>
        <v>0</v>
      </c>
      <c r="BD42" s="7">
        <f>INVERSIONES!BD36</f>
        <v>0</v>
      </c>
      <c r="BE42" s="7">
        <f>INVERSIONES!BE36</f>
        <v>0</v>
      </c>
      <c r="BF42" s="7">
        <f>INVERSIONES!BF36</f>
        <v>0</v>
      </c>
      <c r="BG42" s="7">
        <f>INVERSIONES!BG36</f>
        <v>0</v>
      </c>
      <c r="BH42" s="7">
        <f>INVERSIONES!BH36</f>
        <v>0</v>
      </c>
      <c r="BI42" s="7">
        <f>INVERSIONES!BI36</f>
        <v>0</v>
      </c>
      <c r="BJ42" s="7">
        <f>INVERSIONES!BJ36</f>
        <v>0</v>
      </c>
      <c r="BK42" s="7">
        <f>INVERSIONES!BK36</f>
        <v>0</v>
      </c>
    </row>
    <row r="43" spans="1:63" x14ac:dyDescent="0.3">
      <c r="A43" s="43" t="s">
        <v>263</v>
      </c>
      <c r="B43" s="4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</row>
    <row r="44" spans="1:63" s="42" customFormat="1" x14ac:dyDescent="0.3">
      <c r="A44" s="150" t="s">
        <v>264</v>
      </c>
      <c r="B44" s="150"/>
      <c r="C44" s="41">
        <f>SUM(C39:C40)-SUM(C42:C43)</f>
        <v>0</v>
      </c>
      <c r="D44" s="41">
        <f t="shared" ref="D44:I44" si="9">SUM(D39:D40)-SUM(D42:D43)</f>
        <v>0</v>
      </c>
      <c r="E44" s="41">
        <f t="shared" si="9"/>
        <v>0</v>
      </c>
      <c r="F44" s="41">
        <f t="shared" si="9"/>
        <v>0</v>
      </c>
      <c r="G44" s="41">
        <f t="shared" si="9"/>
        <v>0</v>
      </c>
      <c r="H44" s="41">
        <f t="shared" si="9"/>
        <v>0</v>
      </c>
      <c r="I44" s="41">
        <f t="shared" si="9"/>
        <v>0</v>
      </c>
      <c r="J44" s="41">
        <f t="shared" ref="J44" si="10">SUM(J39:J40)-SUM(J42:J43)</f>
        <v>0</v>
      </c>
      <c r="K44" s="41">
        <f t="shared" ref="K44" si="11">SUM(K39:K40)-SUM(K42:K43)</f>
        <v>0</v>
      </c>
      <c r="L44" s="41">
        <f t="shared" ref="L44" si="12">SUM(L39:L40)-SUM(L42:L43)</f>
        <v>0</v>
      </c>
      <c r="M44" s="41">
        <f t="shared" ref="M44" si="13">SUM(M39:M40)-SUM(M42:M43)</f>
        <v>0</v>
      </c>
      <c r="N44" s="41">
        <f t="shared" ref="N44:O44" si="14">SUM(N39:N40)-SUM(N42:N43)</f>
        <v>0</v>
      </c>
      <c r="O44" s="41">
        <f t="shared" si="14"/>
        <v>0</v>
      </c>
      <c r="P44" s="41">
        <f t="shared" ref="P44" si="15">SUM(P39:P40)-SUM(P42:P43)</f>
        <v>0</v>
      </c>
      <c r="Q44" s="41">
        <f t="shared" ref="Q44" si="16">SUM(Q39:Q40)-SUM(Q42:Q43)</f>
        <v>0</v>
      </c>
      <c r="R44" s="41">
        <f t="shared" ref="R44" si="17">SUM(R39:R40)-SUM(R42:R43)</f>
        <v>0</v>
      </c>
      <c r="S44" s="41">
        <f t="shared" ref="S44" si="18">SUM(S39:S40)-SUM(S42:S43)</f>
        <v>0</v>
      </c>
      <c r="T44" s="41">
        <f t="shared" ref="T44:U44" si="19">SUM(T39:T40)-SUM(T42:T43)</f>
        <v>0</v>
      </c>
      <c r="U44" s="41">
        <f t="shared" si="19"/>
        <v>0</v>
      </c>
      <c r="V44" s="41">
        <f t="shared" ref="V44" si="20">SUM(V39:V40)-SUM(V42:V43)</f>
        <v>0</v>
      </c>
      <c r="W44" s="41">
        <f t="shared" ref="W44" si="21">SUM(W39:W40)-SUM(W42:W43)</f>
        <v>0</v>
      </c>
      <c r="X44" s="41">
        <f t="shared" ref="X44" si="22">SUM(X39:X40)-SUM(X42:X43)</f>
        <v>0</v>
      </c>
      <c r="Y44" s="41">
        <f t="shared" ref="Y44" si="23">SUM(Y39:Y40)-SUM(Y42:Y43)</f>
        <v>0</v>
      </c>
      <c r="Z44" s="41">
        <f t="shared" ref="Z44:AA44" si="24">SUM(Z39:Z40)-SUM(Z42:Z43)</f>
        <v>0</v>
      </c>
      <c r="AA44" s="41">
        <f t="shared" si="24"/>
        <v>0</v>
      </c>
      <c r="AB44" s="41">
        <f t="shared" ref="AB44" si="25">SUM(AB39:AB40)-SUM(AB42:AB43)</f>
        <v>0</v>
      </c>
      <c r="AC44" s="41">
        <f t="shared" ref="AC44" si="26">SUM(AC39:AC40)-SUM(AC42:AC43)</f>
        <v>0</v>
      </c>
      <c r="AD44" s="41">
        <f t="shared" ref="AD44" si="27">SUM(AD39:AD40)-SUM(AD42:AD43)</f>
        <v>0</v>
      </c>
      <c r="AE44" s="41">
        <f t="shared" ref="AE44" si="28">SUM(AE39:AE40)-SUM(AE42:AE43)</f>
        <v>0</v>
      </c>
      <c r="AF44" s="41">
        <f t="shared" ref="AF44:AG44" si="29">SUM(AF39:AF40)-SUM(AF42:AF43)</f>
        <v>0</v>
      </c>
      <c r="AG44" s="41">
        <f t="shared" si="29"/>
        <v>0</v>
      </c>
      <c r="AH44" s="41">
        <f t="shared" ref="AH44" si="30">SUM(AH39:AH40)-SUM(AH42:AH43)</f>
        <v>0</v>
      </c>
      <c r="AI44" s="41">
        <f t="shared" ref="AI44" si="31">SUM(AI39:AI40)-SUM(AI42:AI43)</f>
        <v>0</v>
      </c>
      <c r="AJ44" s="41">
        <f t="shared" ref="AJ44" si="32">SUM(AJ39:AJ40)-SUM(AJ42:AJ43)</f>
        <v>0</v>
      </c>
      <c r="AK44" s="41">
        <f t="shared" ref="AK44" si="33">SUM(AK39:AK40)-SUM(AK42:AK43)</f>
        <v>0</v>
      </c>
      <c r="AL44" s="41">
        <f t="shared" ref="AL44:AM44" si="34">SUM(AL39:AL40)-SUM(AL42:AL43)</f>
        <v>0</v>
      </c>
      <c r="AM44" s="41">
        <f t="shared" si="34"/>
        <v>0</v>
      </c>
      <c r="AN44" s="41">
        <f t="shared" ref="AN44" si="35">SUM(AN39:AN40)-SUM(AN42:AN43)</f>
        <v>0</v>
      </c>
      <c r="AO44" s="41">
        <f t="shared" ref="AO44" si="36">SUM(AO39:AO40)-SUM(AO42:AO43)</f>
        <v>0</v>
      </c>
      <c r="AP44" s="41">
        <f t="shared" ref="AP44" si="37">SUM(AP39:AP40)-SUM(AP42:AP43)</f>
        <v>0</v>
      </c>
      <c r="AQ44" s="41">
        <f t="shared" ref="AQ44" si="38">SUM(AQ39:AQ40)-SUM(AQ42:AQ43)</f>
        <v>0</v>
      </c>
      <c r="AR44" s="41">
        <f t="shared" ref="AR44:AS44" si="39">SUM(AR39:AR40)-SUM(AR42:AR43)</f>
        <v>0</v>
      </c>
      <c r="AS44" s="41">
        <f t="shared" si="39"/>
        <v>0</v>
      </c>
      <c r="AT44" s="41">
        <f t="shared" ref="AT44" si="40">SUM(AT39:AT40)-SUM(AT42:AT43)</f>
        <v>0</v>
      </c>
      <c r="AU44" s="41">
        <f t="shared" ref="AU44" si="41">SUM(AU39:AU40)-SUM(AU42:AU43)</f>
        <v>0</v>
      </c>
      <c r="AV44" s="41">
        <f t="shared" ref="AV44" si="42">SUM(AV39:AV40)-SUM(AV42:AV43)</f>
        <v>0</v>
      </c>
      <c r="AW44" s="41">
        <f t="shared" ref="AW44" si="43">SUM(AW39:AW40)-SUM(AW42:AW43)</f>
        <v>0</v>
      </c>
      <c r="AX44" s="41">
        <f t="shared" ref="AX44:AY44" si="44">SUM(AX39:AX40)-SUM(AX42:AX43)</f>
        <v>0</v>
      </c>
      <c r="AY44" s="41">
        <f t="shared" si="44"/>
        <v>0</v>
      </c>
      <c r="AZ44" s="41">
        <f t="shared" ref="AZ44" si="45">SUM(AZ39:AZ40)-SUM(AZ42:AZ43)</f>
        <v>0</v>
      </c>
      <c r="BA44" s="41">
        <f t="shared" ref="BA44" si="46">SUM(BA39:BA40)-SUM(BA42:BA43)</f>
        <v>0</v>
      </c>
      <c r="BB44" s="41">
        <f t="shared" ref="BB44" si="47">SUM(BB39:BB40)-SUM(BB42:BB43)</f>
        <v>0</v>
      </c>
      <c r="BC44" s="41">
        <f t="shared" ref="BC44" si="48">SUM(BC39:BC40)-SUM(BC42:BC43)</f>
        <v>0</v>
      </c>
      <c r="BD44" s="41">
        <f t="shared" ref="BD44:BE44" si="49">SUM(BD39:BD40)-SUM(BD42:BD43)</f>
        <v>0</v>
      </c>
      <c r="BE44" s="41">
        <f t="shared" si="49"/>
        <v>0</v>
      </c>
      <c r="BF44" s="41">
        <f t="shared" ref="BF44" si="50">SUM(BF39:BF40)-SUM(BF42:BF43)</f>
        <v>0</v>
      </c>
      <c r="BG44" s="41">
        <f t="shared" ref="BG44" si="51">SUM(BG39:BG40)-SUM(BG42:BG43)</f>
        <v>0</v>
      </c>
      <c r="BH44" s="41">
        <f t="shared" ref="BH44" si="52">SUM(BH39:BH40)-SUM(BH42:BH43)</f>
        <v>0</v>
      </c>
      <c r="BI44" s="41">
        <f t="shared" ref="BI44" si="53">SUM(BI39:BI40)-SUM(BI42:BI43)</f>
        <v>0</v>
      </c>
      <c r="BJ44" s="41">
        <f t="shared" ref="BJ44:BK44" si="54">SUM(BJ39:BJ40)-SUM(BJ42:BJ43)</f>
        <v>0</v>
      </c>
      <c r="BK44" s="41">
        <f t="shared" si="54"/>
        <v>0</v>
      </c>
    </row>
    <row r="45" spans="1:63" x14ac:dyDescent="0.3">
      <c r="A45" s="143"/>
      <c r="B45" s="14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</row>
    <row r="46" spans="1:63" x14ac:dyDescent="0.3">
      <c r="A46" s="145" t="s">
        <v>265</v>
      </c>
      <c r="B46" s="14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</row>
    <row r="47" spans="1:63" x14ac:dyDescent="0.3">
      <c r="A47" s="145" t="s">
        <v>266</v>
      </c>
      <c r="B47" s="146"/>
      <c r="C47" s="7">
        <f>FINANCIACIÓN!C47</f>
        <v>0</v>
      </c>
      <c r="D47" s="7">
        <f>FINANCIACIÓN!D47</f>
        <v>0</v>
      </c>
      <c r="E47" s="7">
        <f>FINANCIACIÓN!E47</f>
        <v>0</v>
      </c>
      <c r="F47" s="7">
        <f>FINANCIACIÓN!F47</f>
        <v>0</v>
      </c>
      <c r="G47" s="7">
        <f>FINANCIACIÓN!G47</f>
        <v>0</v>
      </c>
      <c r="H47" s="7">
        <f>FINANCIACIÓN!H47</f>
        <v>0</v>
      </c>
      <c r="I47" s="7">
        <f>FINANCIACIÓN!I47</f>
        <v>0</v>
      </c>
      <c r="J47" s="7">
        <f>FINANCIACIÓN!J47</f>
        <v>0</v>
      </c>
      <c r="K47" s="7">
        <f>FINANCIACIÓN!K47</f>
        <v>0</v>
      </c>
      <c r="L47" s="7">
        <f>FINANCIACIÓN!L47</f>
        <v>0</v>
      </c>
      <c r="M47" s="7">
        <f>FINANCIACIÓN!M47</f>
        <v>0</v>
      </c>
      <c r="N47" s="7">
        <f>FINANCIACIÓN!N47</f>
        <v>0</v>
      </c>
      <c r="O47" s="7">
        <f>FINANCIACIÓN!O47</f>
        <v>0</v>
      </c>
      <c r="P47" s="7">
        <f>FINANCIACIÓN!P47</f>
        <v>0</v>
      </c>
      <c r="Q47" s="7">
        <f>FINANCIACIÓN!Q47</f>
        <v>0</v>
      </c>
      <c r="R47" s="7">
        <f>FINANCIACIÓN!R47</f>
        <v>0</v>
      </c>
      <c r="S47" s="7">
        <f>FINANCIACIÓN!S47</f>
        <v>0</v>
      </c>
      <c r="T47" s="7">
        <f>FINANCIACIÓN!T47</f>
        <v>0</v>
      </c>
      <c r="U47" s="7">
        <f>FINANCIACIÓN!U47</f>
        <v>0</v>
      </c>
      <c r="V47" s="7">
        <f>FINANCIACIÓN!V47</f>
        <v>0</v>
      </c>
      <c r="W47" s="7">
        <f>FINANCIACIÓN!W47</f>
        <v>0</v>
      </c>
      <c r="X47" s="7">
        <f>FINANCIACIÓN!X47</f>
        <v>0</v>
      </c>
      <c r="Y47" s="7">
        <f>FINANCIACIÓN!Y47</f>
        <v>0</v>
      </c>
      <c r="Z47" s="7">
        <f>FINANCIACIÓN!Z47</f>
        <v>0</v>
      </c>
      <c r="AA47" s="7">
        <f>FINANCIACIÓN!AA47</f>
        <v>0</v>
      </c>
      <c r="AB47" s="7">
        <f>FINANCIACIÓN!AB47</f>
        <v>0</v>
      </c>
      <c r="AC47" s="7">
        <f>FINANCIACIÓN!AC47</f>
        <v>0</v>
      </c>
      <c r="AD47" s="7">
        <f>FINANCIACIÓN!AD47</f>
        <v>0</v>
      </c>
      <c r="AE47" s="7">
        <f>FINANCIACIÓN!AE47</f>
        <v>0</v>
      </c>
      <c r="AF47" s="7">
        <f>FINANCIACIÓN!AF47</f>
        <v>0</v>
      </c>
      <c r="AG47" s="7">
        <f>FINANCIACIÓN!AG47</f>
        <v>0</v>
      </c>
      <c r="AH47" s="7">
        <f>FINANCIACIÓN!AH47</f>
        <v>0</v>
      </c>
      <c r="AI47" s="7">
        <f>FINANCIACIÓN!AI47</f>
        <v>0</v>
      </c>
      <c r="AJ47" s="7">
        <f>FINANCIACIÓN!AJ47</f>
        <v>0</v>
      </c>
      <c r="AK47" s="7">
        <f>FINANCIACIÓN!AK47</f>
        <v>0</v>
      </c>
      <c r="AL47" s="7">
        <f>FINANCIACIÓN!AL47</f>
        <v>0</v>
      </c>
      <c r="AM47" s="7">
        <f>FINANCIACIÓN!AM47</f>
        <v>0</v>
      </c>
      <c r="AN47" s="7">
        <f>FINANCIACIÓN!AN47</f>
        <v>0</v>
      </c>
      <c r="AO47" s="7">
        <f>FINANCIACIÓN!AO47</f>
        <v>0</v>
      </c>
      <c r="AP47" s="7">
        <f>FINANCIACIÓN!AP47</f>
        <v>0</v>
      </c>
      <c r="AQ47" s="7">
        <f>FINANCIACIÓN!AQ47</f>
        <v>0</v>
      </c>
      <c r="AR47" s="7">
        <f>FINANCIACIÓN!AR47</f>
        <v>0</v>
      </c>
      <c r="AS47" s="7">
        <f>FINANCIACIÓN!AS47</f>
        <v>0</v>
      </c>
      <c r="AT47" s="7">
        <f>FINANCIACIÓN!AT47</f>
        <v>0</v>
      </c>
      <c r="AU47" s="7">
        <f>FINANCIACIÓN!AU47</f>
        <v>0</v>
      </c>
      <c r="AV47" s="7">
        <f>FINANCIACIÓN!AV47</f>
        <v>0</v>
      </c>
      <c r="AW47" s="7">
        <f>FINANCIACIÓN!AW47</f>
        <v>0</v>
      </c>
      <c r="AX47" s="7">
        <f>FINANCIACIÓN!AX47</f>
        <v>0</v>
      </c>
      <c r="AY47" s="7">
        <f>FINANCIACIÓN!AY47</f>
        <v>0</v>
      </c>
      <c r="AZ47" s="7">
        <f>FINANCIACIÓN!AZ47</f>
        <v>0</v>
      </c>
      <c r="BA47" s="7">
        <f>FINANCIACIÓN!BA47</f>
        <v>0</v>
      </c>
      <c r="BB47" s="7">
        <f>FINANCIACIÓN!BB47</f>
        <v>0</v>
      </c>
      <c r="BC47" s="7">
        <f>FINANCIACIÓN!BC47</f>
        <v>0</v>
      </c>
      <c r="BD47" s="7">
        <f>FINANCIACIÓN!BD47</f>
        <v>0</v>
      </c>
      <c r="BE47" s="7">
        <f>FINANCIACIÓN!BE47</f>
        <v>0</v>
      </c>
      <c r="BF47" s="7">
        <f>FINANCIACIÓN!BF47</f>
        <v>0</v>
      </c>
      <c r="BG47" s="7">
        <f>FINANCIACIÓN!BG47</f>
        <v>0</v>
      </c>
      <c r="BH47" s="7">
        <f>FINANCIACIÓN!BH47</f>
        <v>0</v>
      </c>
      <c r="BI47" s="7">
        <f>FINANCIACIÓN!BI47</f>
        <v>0</v>
      </c>
      <c r="BJ47" s="7">
        <f>FINANCIACIÓN!BJ47</f>
        <v>0</v>
      </c>
      <c r="BK47" s="7">
        <f>FINANCIACIÓN!BK47</f>
        <v>0</v>
      </c>
    </row>
    <row r="48" spans="1:63" x14ac:dyDescent="0.3">
      <c r="A48" s="145" t="s">
        <v>267</v>
      </c>
      <c r="B48" s="146"/>
      <c r="C48" s="7">
        <f>FINANCIACIÓN!C24</f>
        <v>8000000</v>
      </c>
      <c r="D48" s="7">
        <f>FINANCIACIÓN!D24</f>
        <v>0</v>
      </c>
      <c r="E48" s="7">
        <f>FINANCIACIÓN!E24</f>
        <v>0</v>
      </c>
      <c r="F48" s="7">
        <f>FINANCIACIÓN!F24</f>
        <v>0</v>
      </c>
      <c r="G48" s="7">
        <f>FINANCIACIÓN!G24</f>
        <v>0</v>
      </c>
      <c r="H48" s="7">
        <f>FINANCIACIÓN!H24</f>
        <v>0</v>
      </c>
      <c r="I48" s="7">
        <f>FINANCIACIÓN!I24</f>
        <v>0</v>
      </c>
      <c r="J48" s="7">
        <f>FINANCIACIÓN!J24</f>
        <v>0</v>
      </c>
      <c r="K48" s="7">
        <f>FINANCIACIÓN!K24</f>
        <v>0</v>
      </c>
      <c r="L48" s="7">
        <f>FINANCIACIÓN!L24</f>
        <v>0</v>
      </c>
      <c r="M48" s="7">
        <f>FINANCIACIÓN!M24</f>
        <v>0</v>
      </c>
      <c r="N48" s="7">
        <f>FINANCIACIÓN!N24</f>
        <v>0</v>
      </c>
      <c r="O48" s="7">
        <f>FINANCIACIÓN!O24</f>
        <v>0</v>
      </c>
      <c r="P48" s="7">
        <f>FINANCIACIÓN!P24</f>
        <v>0</v>
      </c>
      <c r="Q48" s="7">
        <f>FINANCIACIÓN!Q24</f>
        <v>0</v>
      </c>
      <c r="R48" s="7">
        <f>FINANCIACIÓN!R24</f>
        <v>0</v>
      </c>
      <c r="S48" s="7">
        <f>FINANCIACIÓN!S24</f>
        <v>0</v>
      </c>
      <c r="T48" s="7">
        <f>FINANCIACIÓN!T24</f>
        <v>0</v>
      </c>
      <c r="U48" s="7">
        <f>FINANCIACIÓN!U24</f>
        <v>0</v>
      </c>
      <c r="V48" s="7">
        <f>FINANCIACIÓN!V24</f>
        <v>0</v>
      </c>
      <c r="W48" s="7">
        <f>FINANCIACIÓN!W24</f>
        <v>0</v>
      </c>
      <c r="X48" s="7">
        <f>FINANCIACIÓN!X24</f>
        <v>0</v>
      </c>
      <c r="Y48" s="7">
        <f>FINANCIACIÓN!Y24</f>
        <v>0</v>
      </c>
      <c r="Z48" s="7">
        <f>FINANCIACIÓN!Z24</f>
        <v>0</v>
      </c>
      <c r="AA48" s="7">
        <f>FINANCIACIÓN!AA24</f>
        <v>0</v>
      </c>
      <c r="AB48" s="7">
        <f>FINANCIACIÓN!AB24</f>
        <v>0</v>
      </c>
      <c r="AC48" s="7">
        <f>FINANCIACIÓN!AC24</f>
        <v>0</v>
      </c>
      <c r="AD48" s="7">
        <f>FINANCIACIÓN!AD24</f>
        <v>0</v>
      </c>
      <c r="AE48" s="7">
        <f>FINANCIACIÓN!AE24</f>
        <v>0</v>
      </c>
      <c r="AF48" s="7">
        <f>FINANCIACIÓN!AF24</f>
        <v>0</v>
      </c>
      <c r="AG48" s="7">
        <f>FINANCIACIÓN!AG24</f>
        <v>0</v>
      </c>
      <c r="AH48" s="7">
        <f>FINANCIACIÓN!AH24</f>
        <v>0</v>
      </c>
      <c r="AI48" s="7">
        <f>FINANCIACIÓN!AI24</f>
        <v>0</v>
      </c>
      <c r="AJ48" s="7">
        <f>FINANCIACIÓN!AJ24</f>
        <v>0</v>
      </c>
      <c r="AK48" s="7">
        <f>FINANCIACIÓN!AK24</f>
        <v>0</v>
      </c>
      <c r="AL48" s="7">
        <f>FINANCIACIÓN!AL24</f>
        <v>0</v>
      </c>
      <c r="AM48" s="7">
        <f>FINANCIACIÓN!AM24</f>
        <v>0</v>
      </c>
      <c r="AN48" s="7">
        <f>FINANCIACIÓN!AN24</f>
        <v>0</v>
      </c>
      <c r="AO48" s="7">
        <f>FINANCIACIÓN!AO24</f>
        <v>0</v>
      </c>
      <c r="AP48" s="7">
        <f>FINANCIACIÓN!AP24</f>
        <v>0</v>
      </c>
      <c r="AQ48" s="7">
        <f>FINANCIACIÓN!AQ24</f>
        <v>0</v>
      </c>
      <c r="AR48" s="7">
        <f>FINANCIACIÓN!AR24</f>
        <v>0</v>
      </c>
      <c r="AS48" s="7">
        <f>FINANCIACIÓN!AS24</f>
        <v>0</v>
      </c>
      <c r="AT48" s="7">
        <f>FINANCIACIÓN!AT24</f>
        <v>0</v>
      </c>
      <c r="AU48" s="7">
        <f>FINANCIACIÓN!AU24</f>
        <v>0</v>
      </c>
      <c r="AV48" s="7">
        <f>FINANCIACIÓN!AV24</f>
        <v>0</v>
      </c>
      <c r="AW48" s="7">
        <f>FINANCIACIÓN!AW24</f>
        <v>0</v>
      </c>
      <c r="AX48" s="7">
        <f>FINANCIACIÓN!AX24</f>
        <v>0</v>
      </c>
      <c r="AY48" s="7">
        <f>FINANCIACIÓN!AY24</f>
        <v>0</v>
      </c>
      <c r="AZ48" s="7">
        <f>FINANCIACIÓN!AZ24</f>
        <v>0</v>
      </c>
      <c r="BA48" s="7">
        <f>FINANCIACIÓN!BA24</f>
        <v>0</v>
      </c>
      <c r="BB48" s="7">
        <f>FINANCIACIÓN!BB24</f>
        <v>0</v>
      </c>
      <c r="BC48" s="7">
        <f>FINANCIACIÓN!BC24</f>
        <v>0</v>
      </c>
      <c r="BD48" s="7">
        <f>FINANCIACIÓN!BD24</f>
        <v>0</v>
      </c>
      <c r="BE48" s="7">
        <f>FINANCIACIÓN!BE24</f>
        <v>0</v>
      </c>
      <c r="BF48" s="7">
        <f>FINANCIACIÓN!BF24</f>
        <v>0</v>
      </c>
      <c r="BG48" s="7">
        <f>FINANCIACIÓN!BG24</f>
        <v>0</v>
      </c>
      <c r="BH48" s="7">
        <f>FINANCIACIÓN!BH24</f>
        <v>0</v>
      </c>
      <c r="BI48" s="7">
        <f>FINANCIACIÓN!BI24</f>
        <v>0</v>
      </c>
      <c r="BJ48" s="7">
        <f>FINANCIACIÓN!BJ24</f>
        <v>0</v>
      </c>
      <c r="BK48" s="7">
        <f>FINANCIACIÓN!BK24</f>
        <v>0</v>
      </c>
    </row>
    <row r="49" spans="1:64" x14ac:dyDescent="0.3">
      <c r="A49" s="145" t="s">
        <v>268</v>
      </c>
      <c r="B49" s="14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</row>
    <row r="50" spans="1:64" x14ac:dyDescent="0.3">
      <c r="A50" s="145" t="s">
        <v>269</v>
      </c>
      <c r="B50" s="146"/>
      <c r="C50" s="7">
        <f>FINANCIACIÓN!C85</f>
        <v>0</v>
      </c>
      <c r="D50" s="7">
        <f>FINANCIACIÓN!D85</f>
        <v>0</v>
      </c>
      <c r="E50" s="7">
        <f>FINANCIACIÓN!E85</f>
        <v>0</v>
      </c>
      <c r="F50" s="7">
        <f>FINANCIACIÓN!F85</f>
        <v>0</v>
      </c>
      <c r="G50" s="7">
        <f>FINANCIACIÓN!G85</f>
        <v>0</v>
      </c>
      <c r="H50" s="7">
        <f>FINANCIACIÓN!H85</f>
        <v>0</v>
      </c>
      <c r="I50" s="7">
        <f>FINANCIACIÓN!I85</f>
        <v>0</v>
      </c>
      <c r="J50" s="7">
        <f>FINANCIACIÓN!J85</f>
        <v>0</v>
      </c>
      <c r="K50" s="7">
        <f>FINANCIACIÓN!K85</f>
        <v>0</v>
      </c>
      <c r="L50" s="7">
        <f>FINANCIACIÓN!L85</f>
        <v>0</v>
      </c>
      <c r="M50" s="7">
        <f>FINANCIACIÓN!M85</f>
        <v>0</v>
      </c>
      <c r="N50" s="7">
        <f>FINANCIACIÓN!N85</f>
        <v>0</v>
      </c>
      <c r="O50" s="7">
        <f>FINANCIACIÓN!O85</f>
        <v>0</v>
      </c>
      <c r="P50" s="7">
        <f>FINANCIACIÓN!P85</f>
        <v>0</v>
      </c>
      <c r="Q50" s="7">
        <f>FINANCIACIÓN!Q85</f>
        <v>0</v>
      </c>
      <c r="R50" s="7">
        <f>FINANCIACIÓN!R85</f>
        <v>0</v>
      </c>
      <c r="S50" s="7">
        <f>FINANCIACIÓN!S85</f>
        <v>0</v>
      </c>
      <c r="T50" s="7">
        <f>FINANCIACIÓN!T85</f>
        <v>0</v>
      </c>
      <c r="U50" s="7">
        <f>FINANCIACIÓN!U85</f>
        <v>0</v>
      </c>
      <c r="V50" s="7">
        <f>FINANCIACIÓN!V85</f>
        <v>0</v>
      </c>
      <c r="W50" s="7">
        <f>FINANCIACIÓN!W85</f>
        <v>0</v>
      </c>
      <c r="X50" s="7">
        <f>FINANCIACIÓN!X85</f>
        <v>0</v>
      </c>
      <c r="Y50" s="7">
        <f>FINANCIACIÓN!Y85</f>
        <v>0</v>
      </c>
      <c r="Z50" s="7">
        <f>FINANCIACIÓN!Z85</f>
        <v>0</v>
      </c>
      <c r="AA50" s="7">
        <f>FINANCIACIÓN!AA85</f>
        <v>0</v>
      </c>
      <c r="AB50" s="7">
        <f>FINANCIACIÓN!AB85</f>
        <v>0</v>
      </c>
      <c r="AC50" s="7">
        <f>FINANCIACIÓN!AC85</f>
        <v>0</v>
      </c>
      <c r="AD50" s="7">
        <f>FINANCIACIÓN!AD85</f>
        <v>0</v>
      </c>
      <c r="AE50" s="7">
        <f>FINANCIACIÓN!AE85</f>
        <v>0</v>
      </c>
      <c r="AF50" s="7">
        <f>FINANCIACIÓN!AF85</f>
        <v>0</v>
      </c>
      <c r="AG50" s="7">
        <f>FINANCIACIÓN!AG85</f>
        <v>0</v>
      </c>
      <c r="AH50" s="7">
        <f>FINANCIACIÓN!AH85</f>
        <v>0</v>
      </c>
      <c r="AI50" s="7">
        <f>FINANCIACIÓN!AI85</f>
        <v>0</v>
      </c>
      <c r="AJ50" s="7">
        <f>FINANCIACIÓN!AJ85</f>
        <v>0</v>
      </c>
      <c r="AK50" s="7">
        <f>FINANCIACIÓN!AK85</f>
        <v>0</v>
      </c>
      <c r="AL50" s="7">
        <f>FINANCIACIÓN!AL85</f>
        <v>0</v>
      </c>
      <c r="AM50" s="7">
        <f>FINANCIACIÓN!AM85</f>
        <v>0</v>
      </c>
      <c r="AN50" s="7">
        <f>FINANCIACIÓN!AN85</f>
        <v>0</v>
      </c>
      <c r="AO50" s="7">
        <f>FINANCIACIÓN!AO85</f>
        <v>0</v>
      </c>
      <c r="AP50" s="7">
        <f>FINANCIACIÓN!AP85</f>
        <v>0</v>
      </c>
      <c r="AQ50" s="7">
        <f>FINANCIACIÓN!AQ85</f>
        <v>0</v>
      </c>
      <c r="AR50" s="7">
        <f>FINANCIACIÓN!AR85</f>
        <v>0</v>
      </c>
      <c r="AS50" s="7">
        <f>FINANCIACIÓN!AS85</f>
        <v>0</v>
      </c>
      <c r="AT50" s="7">
        <f>FINANCIACIÓN!AT85</f>
        <v>0</v>
      </c>
      <c r="AU50" s="7">
        <f>FINANCIACIÓN!AU85</f>
        <v>0</v>
      </c>
      <c r="AV50" s="7">
        <f>FINANCIACIÓN!AV85</f>
        <v>0</v>
      </c>
      <c r="AW50" s="7">
        <f>FINANCIACIÓN!AW85</f>
        <v>0</v>
      </c>
      <c r="AX50" s="7">
        <f>FINANCIACIÓN!AX85</f>
        <v>0</v>
      </c>
      <c r="AY50" s="7">
        <f>FINANCIACIÓN!AY85</f>
        <v>0</v>
      </c>
      <c r="AZ50" s="7">
        <f>FINANCIACIÓN!AZ85</f>
        <v>0</v>
      </c>
      <c r="BA50" s="7">
        <f>FINANCIACIÓN!BA85</f>
        <v>0</v>
      </c>
      <c r="BB50" s="7">
        <f>FINANCIACIÓN!BB85</f>
        <v>0</v>
      </c>
      <c r="BC50" s="7">
        <f>FINANCIACIÓN!BC85</f>
        <v>0</v>
      </c>
      <c r="BD50" s="7">
        <f>FINANCIACIÓN!BD85</f>
        <v>0</v>
      </c>
      <c r="BE50" s="7">
        <f>FINANCIACIÓN!BE85</f>
        <v>0</v>
      </c>
      <c r="BF50" s="7">
        <f>FINANCIACIÓN!BF85</f>
        <v>0</v>
      </c>
      <c r="BG50" s="7">
        <f>FINANCIACIÓN!BG85</f>
        <v>0</v>
      </c>
      <c r="BH50" s="7">
        <f>FINANCIACIÓN!BH85</f>
        <v>0</v>
      </c>
      <c r="BI50" s="7">
        <f>FINANCIACIÓN!BI85</f>
        <v>0</v>
      </c>
      <c r="BJ50" s="7">
        <f>FINANCIACIÓN!BJ85</f>
        <v>0</v>
      </c>
      <c r="BK50" s="7">
        <f>FINANCIACIÓN!BK85</f>
        <v>0</v>
      </c>
    </row>
    <row r="51" spans="1:64" x14ac:dyDescent="0.3">
      <c r="A51" s="145" t="s">
        <v>270</v>
      </c>
      <c r="B51" s="146"/>
      <c r="C51" s="7">
        <f>FINANCIACIÓN!C66</f>
        <v>0</v>
      </c>
      <c r="D51" s="7">
        <v>0</v>
      </c>
      <c r="E51" s="7">
        <f>FINANCIACIÓN!E66</f>
        <v>0</v>
      </c>
      <c r="F51" s="7">
        <f>FINANCIACIÓN!F66</f>
        <v>0</v>
      </c>
      <c r="G51" s="7">
        <f>FINANCIACIÓN!G66</f>
        <v>0</v>
      </c>
      <c r="H51" s="7">
        <f>FINANCIACIÓN!H66</f>
        <v>0</v>
      </c>
      <c r="I51" s="7">
        <f>FINANCIACIÓN!I66</f>
        <v>0</v>
      </c>
      <c r="J51" s="7">
        <f>FINANCIACIÓN!J66</f>
        <v>0</v>
      </c>
      <c r="K51" s="7">
        <f>FINANCIACIÓN!K66</f>
        <v>0</v>
      </c>
      <c r="L51" s="7">
        <f>FINANCIACIÓN!L66</f>
        <v>0</v>
      </c>
      <c r="M51" s="7">
        <f>FINANCIACIÓN!M66</f>
        <v>0</v>
      </c>
      <c r="N51" s="7">
        <f>FINANCIACIÓN!N66</f>
        <v>0</v>
      </c>
      <c r="O51" s="7">
        <f>FINANCIACIÓN!O66</f>
        <v>0</v>
      </c>
      <c r="P51" s="7">
        <f>FINANCIACIÓN!P66</f>
        <v>0</v>
      </c>
      <c r="Q51" s="7">
        <f>FINANCIACIÓN!Q66</f>
        <v>0</v>
      </c>
      <c r="R51" s="7">
        <f>FINANCIACIÓN!R66</f>
        <v>0</v>
      </c>
      <c r="S51" s="7">
        <f>FINANCIACIÓN!S66</f>
        <v>0</v>
      </c>
      <c r="T51" s="7">
        <f>FINANCIACIÓN!T66</f>
        <v>0</v>
      </c>
      <c r="U51" s="7">
        <f>FINANCIACIÓN!U66</f>
        <v>0</v>
      </c>
      <c r="V51" s="7">
        <f>FINANCIACIÓN!V66</f>
        <v>0</v>
      </c>
      <c r="W51" s="7">
        <f>FINANCIACIÓN!W66</f>
        <v>0</v>
      </c>
      <c r="X51" s="7">
        <f>FINANCIACIÓN!X66</f>
        <v>0</v>
      </c>
      <c r="Y51" s="7">
        <f>FINANCIACIÓN!Y66</f>
        <v>0</v>
      </c>
      <c r="Z51" s="7">
        <f>FINANCIACIÓN!Z66</f>
        <v>0</v>
      </c>
      <c r="AA51" s="7">
        <f>FINANCIACIÓN!AA66</f>
        <v>0</v>
      </c>
      <c r="AB51" s="7">
        <f>FINANCIACIÓN!AB66</f>
        <v>0</v>
      </c>
      <c r="AC51" s="7">
        <f>FINANCIACIÓN!AC66</f>
        <v>0</v>
      </c>
      <c r="AD51" s="7">
        <f>FINANCIACIÓN!AD66</f>
        <v>0</v>
      </c>
      <c r="AE51" s="7">
        <f>FINANCIACIÓN!AE66</f>
        <v>0</v>
      </c>
      <c r="AF51" s="7">
        <f>FINANCIACIÓN!AF66</f>
        <v>0</v>
      </c>
      <c r="AG51" s="7">
        <f>FINANCIACIÓN!AG66</f>
        <v>0</v>
      </c>
      <c r="AH51" s="7">
        <f>FINANCIACIÓN!AH66</f>
        <v>0</v>
      </c>
      <c r="AI51" s="7">
        <f>FINANCIACIÓN!AI66</f>
        <v>0</v>
      </c>
      <c r="AJ51" s="7">
        <f>FINANCIACIÓN!AJ66</f>
        <v>0</v>
      </c>
      <c r="AK51" s="7">
        <f>FINANCIACIÓN!AK66</f>
        <v>0</v>
      </c>
      <c r="AL51" s="7">
        <f>FINANCIACIÓN!AL66</f>
        <v>0</v>
      </c>
      <c r="AM51" s="7">
        <f>FINANCIACIÓN!AM66</f>
        <v>0</v>
      </c>
      <c r="AN51" s="7">
        <f>FINANCIACIÓN!AN66</f>
        <v>0</v>
      </c>
      <c r="AO51" s="7">
        <f>FINANCIACIÓN!AO66</f>
        <v>0</v>
      </c>
      <c r="AP51" s="7">
        <f>FINANCIACIÓN!AP66</f>
        <v>0</v>
      </c>
      <c r="AQ51" s="7">
        <f>FINANCIACIÓN!AQ66</f>
        <v>0</v>
      </c>
      <c r="AR51" s="7">
        <f>FINANCIACIÓN!AR66</f>
        <v>0</v>
      </c>
      <c r="AS51" s="7">
        <f>FINANCIACIÓN!AS66</f>
        <v>0</v>
      </c>
      <c r="AT51" s="7">
        <f>FINANCIACIÓN!AT66</f>
        <v>0</v>
      </c>
      <c r="AU51" s="7">
        <f>FINANCIACIÓN!AU66</f>
        <v>0</v>
      </c>
      <c r="AV51" s="7">
        <f>FINANCIACIÓN!AV66</f>
        <v>0</v>
      </c>
      <c r="AW51" s="7">
        <f>FINANCIACIÓN!AW66</f>
        <v>0</v>
      </c>
      <c r="AX51" s="7">
        <f>FINANCIACIÓN!AX66</f>
        <v>0</v>
      </c>
      <c r="AY51" s="7">
        <f>FINANCIACIÓN!AY66</f>
        <v>0</v>
      </c>
      <c r="AZ51" s="7">
        <f>FINANCIACIÓN!AZ66</f>
        <v>0</v>
      </c>
      <c r="BA51" s="7">
        <f>FINANCIACIÓN!BA66</f>
        <v>0</v>
      </c>
      <c r="BB51" s="7">
        <f>FINANCIACIÓN!BB66</f>
        <v>0</v>
      </c>
      <c r="BC51" s="7">
        <f>FINANCIACIÓN!BC66</f>
        <v>0</v>
      </c>
      <c r="BD51" s="7">
        <f>FINANCIACIÓN!BD66</f>
        <v>0</v>
      </c>
      <c r="BE51" s="7">
        <f>FINANCIACIÓN!BE66</f>
        <v>0</v>
      </c>
      <c r="BF51" s="7">
        <f>FINANCIACIÓN!BF66</f>
        <v>0</v>
      </c>
      <c r="BG51" s="7">
        <f>FINANCIACIÓN!BG66</f>
        <v>0</v>
      </c>
      <c r="BH51" s="7">
        <f>FINANCIACIÓN!BH66</f>
        <v>0</v>
      </c>
      <c r="BI51" s="7">
        <f>FINANCIACIÓN!BI66</f>
        <v>0</v>
      </c>
      <c r="BJ51" s="7">
        <f>FINANCIACIÓN!BJ66</f>
        <v>0</v>
      </c>
      <c r="BK51" s="7">
        <f>FINANCIACIÓN!BK66</f>
        <v>0</v>
      </c>
    </row>
    <row r="52" spans="1:64" s="99" customFormat="1" x14ac:dyDescent="0.3">
      <c r="A52" s="151" t="s">
        <v>271</v>
      </c>
      <c r="B52" s="152"/>
      <c r="C52" s="97"/>
      <c r="D52" s="97">
        <v>0</v>
      </c>
      <c r="E52" s="97">
        <v>0</v>
      </c>
      <c r="F52" s="97">
        <v>0</v>
      </c>
      <c r="G52" s="97">
        <v>0</v>
      </c>
      <c r="H52" s="97">
        <v>0</v>
      </c>
      <c r="I52" s="97">
        <v>0</v>
      </c>
      <c r="J52" s="97">
        <v>0</v>
      </c>
      <c r="K52" s="97">
        <v>0</v>
      </c>
      <c r="L52" s="97">
        <v>0</v>
      </c>
      <c r="M52" s="97">
        <v>0</v>
      </c>
      <c r="N52" s="97">
        <v>0</v>
      </c>
      <c r="O52" s="97">
        <v>0</v>
      </c>
      <c r="P52" s="97">
        <v>0</v>
      </c>
      <c r="Q52" s="97">
        <v>0</v>
      </c>
      <c r="R52" s="97">
        <v>0</v>
      </c>
      <c r="S52" s="97">
        <v>0</v>
      </c>
      <c r="T52" s="97">
        <v>0</v>
      </c>
      <c r="U52" s="97">
        <v>0</v>
      </c>
      <c r="V52" s="97">
        <v>0</v>
      </c>
      <c r="W52" s="97">
        <v>0</v>
      </c>
      <c r="X52" s="97">
        <v>0</v>
      </c>
      <c r="Y52" s="97">
        <v>0</v>
      </c>
      <c r="Z52" s="97">
        <v>0</v>
      </c>
      <c r="AA52" s="97">
        <v>0</v>
      </c>
      <c r="AB52" s="97">
        <v>0</v>
      </c>
      <c r="AC52" s="97">
        <v>0</v>
      </c>
      <c r="AD52" s="97">
        <v>0</v>
      </c>
      <c r="AE52" s="97">
        <v>0</v>
      </c>
      <c r="AF52" s="97">
        <v>0</v>
      </c>
      <c r="AG52" s="97">
        <v>0</v>
      </c>
      <c r="AH52" s="97">
        <v>0</v>
      </c>
      <c r="AI52" s="97">
        <v>0</v>
      </c>
      <c r="AJ52" s="97">
        <v>0</v>
      </c>
      <c r="AK52" s="97">
        <v>0</v>
      </c>
      <c r="AL52" s="97">
        <v>0</v>
      </c>
      <c r="AM52" s="97">
        <v>0</v>
      </c>
      <c r="AN52" s="97">
        <v>0</v>
      </c>
      <c r="AO52" s="97">
        <v>0</v>
      </c>
      <c r="AP52" s="97">
        <v>0</v>
      </c>
      <c r="AQ52" s="97">
        <v>0</v>
      </c>
      <c r="AR52" s="97">
        <v>0</v>
      </c>
      <c r="AS52" s="97">
        <v>0</v>
      </c>
      <c r="AT52" s="97">
        <v>0</v>
      </c>
      <c r="AU52" s="97">
        <v>0</v>
      </c>
      <c r="AV52" s="97">
        <v>0</v>
      </c>
      <c r="AW52" s="97">
        <v>0</v>
      </c>
      <c r="AX52" s="97">
        <v>0</v>
      </c>
      <c r="AY52" s="97">
        <v>0</v>
      </c>
      <c r="AZ52" s="97">
        <v>0</v>
      </c>
      <c r="BA52" s="97">
        <v>0</v>
      </c>
      <c r="BB52" s="97">
        <v>0</v>
      </c>
      <c r="BC52" s="97">
        <v>0</v>
      </c>
      <c r="BD52" s="97">
        <v>0</v>
      </c>
      <c r="BE52" s="97">
        <v>0</v>
      </c>
      <c r="BF52" s="97">
        <v>0</v>
      </c>
      <c r="BG52" s="97">
        <v>0</v>
      </c>
      <c r="BH52" s="97">
        <v>0</v>
      </c>
      <c r="BI52" s="97">
        <v>0</v>
      </c>
      <c r="BJ52" s="97">
        <v>0</v>
      </c>
      <c r="BK52" s="97">
        <v>0</v>
      </c>
      <c r="BL52" s="98"/>
    </row>
    <row r="53" spans="1:64" s="42" customFormat="1" x14ac:dyDescent="0.3">
      <c r="A53" s="150" t="s">
        <v>272</v>
      </c>
      <c r="B53" s="150"/>
      <c r="C53" s="41">
        <f>SUM(C47:C48)-SUM(C50:C52)</f>
        <v>8000000</v>
      </c>
      <c r="D53" s="41">
        <f t="shared" ref="D53:BK53" si="55">SUM(D47:D48)-SUM(D50:D52)</f>
        <v>0</v>
      </c>
      <c r="E53" s="41">
        <f t="shared" si="55"/>
        <v>0</v>
      </c>
      <c r="F53" s="41">
        <f t="shared" si="55"/>
        <v>0</v>
      </c>
      <c r="G53" s="41">
        <f t="shared" si="55"/>
        <v>0</v>
      </c>
      <c r="H53" s="41">
        <f t="shared" si="55"/>
        <v>0</v>
      </c>
      <c r="I53" s="41">
        <f t="shared" si="55"/>
        <v>0</v>
      </c>
      <c r="J53" s="41">
        <f t="shared" si="55"/>
        <v>0</v>
      </c>
      <c r="K53" s="41">
        <f t="shared" si="55"/>
        <v>0</v>
      </c>
      <c r="L53" s="41">
        <f t="shared" si="55"/>
        <v>0</v>
      </c>
      <c r="M53" s="41">
        <f t="shared" si="55"/>
        <v>0</v>
      </c>
      <c r="N53" s="41">
        <f t="shared" si="55"/>
        <v>0</v>
      </c>
      <c r="O53" s="41">
        <f t="shared" si="55"/>
        <v>0</v>
      </c>
      <c r="P53" s="41">
        <f t="shared" si="55"/>
        <v>0</v>
      </c>
      <c r="Q53" s="41">
        <f t="shared" si="55"/>
        <v>0</v>
      </c>
      <c r="R53" s="41">
        <f t="shared" si="55"/>
        <v>0</v>
      </c>
      <c r="S53" s="41">
        <f t="shared" si="55"/>
        <v>0</v>
      </c>
      <c r="T53" s="41">
        <f t="shared" si="55"/>
        <v>0</v>
      </c>
      <c r="U53" s="41">
        <f t="shared" si="55"/>
        <v>0</v>
      </c>
      <c r="V53" s="41">
        <f t="shared" si="55"/>
        <v>0</v>
      </c>
      <c r="W53" s="41">
        <f t="shared" si="55"/>
        <v>0</v>
      </c>
      <c r="X53" s="41">
        <f t="shared" si="55"/>
        <v>0</v>
      </c>
      <c r="Y53" s="41">
        <f t="shared" si="55"/>
        <v>0</v>
      </c>
      <c r="Z53" s="41">
        <f t="shared" si="55"/>
        <v>0</v>
      </c>
      <c r="AA53" s="41">
        <f t="shared" si="55"/>
        <v>0</v>
      </c>
      <c r="AB53" s="41">
        <f t="shared" si="55"/>
        <v>0</v>
      </c>
      <c r="AC53" s="41">
        <f t="shared" si="55"/>
        <v>0</v>
      </c>
      <c r="AD53" s="41">
        <f t="shared" si="55"/>
        <v>0</v>
      </c>
      <c r="AE53" s="41">
        <f t="shared" si="55"/>
        <v>0</v>
      </c>
      <c r="AF53" s="41">
        <f t="shared" si="55"/>
        <v>0</v>
      </c>
      <c r="AG53" s="41">
        <f t="shared" si="55"/>
        <v>0</v>
      </c>
      <c r="AH53" s="41">
        <f t="shared" si="55"/>
        <v>0</v>
      </c>
      <c r="AI53" s="41">
        <f t="shared" si="55"/>
        <v>0</v>
      </c>
      <c r="AJ53" s="41">
        <f t="shared" si="55"/>
        <v>0</v>
      </c>
      <c r="AK53" s="41">
        <f t="shared" si="55"/>
        <v>0</v>
      </c>
      <c r="AL53" s="41">
        <f t="shared" si="55"/>
        <v>0</v>
      </c>
      <c r="AM53" s="41">
        <f t="shared" si="55"/>
        <v>0</v>
      </c>
      <c r="AN53" s="41">
        <f t="shared" si="55"/>
        <v>0</v>
      </c>
      <c r="AO53" s="41">
        <f t="shared" si="55"/>
        <v>0</v>
      </c>
      <c r="AP53" s="41">
        <f t="shared" si="55"/>
        <v>0</v>
      </c>
      <c r="AQ53" s="41">
        <f t="shared" si="55"/>
        <v>0</v>
      </c>
      <c r="AR53" s="41">
        <f t="shared" si="55"/>
        <v>0</v>
      </c>
      <c r="AS53" s="41">
        <f t="shared" si="55"/>
        <v>0</v>
      </c>
      <c r="AT53" s="41">
        <f t="shared" si="55"/>
        <v>0</v>
      </c>
      <c r="AU53" s="41">
        <f t="shared" si="55"/>
        <v>0</v>
      </c>
      <c r="AV53" s="41">
        <f t="shared" si="55"/>
        <v>0</v>
      </c>
      <c r="AW53" s="41">
        <f t="shared" si="55"/>
        <v>0</v>
      </c>
      <c r="AX53" s="41">
        <f t="shared" si="55"/>
        <v>0</v>
      </c>
      <c r="AY53" s="41">
        <f t="shared" si="55"/>
        <v>0</v>
      </c>
      <c r="AZ53" s="41">
        <f t="shared" si="55"/>
        <v>0</v>
      </c>
      <c r="BA53" s="41">
        <f t="shared" si="55"/>
        <v>0</v>
      </c>
      <c r="BB53" s="41">
        <f t="shared" si="55"/>
        <v>0</v>
      </c>
      <c r="BC53" s="41">
        <f t="shared" si="55"/>
        <v>0</v>
      </c>
      <c r="BD53" s="41">
        <f t="shared" si="55"/>
        <v>0</v>
      </c>
      <c r="BE53" s="41">
        <f t="shared" si="55"/>
        <v>0</v>
      </c>
      <c r="BF53" s="41">
        <f t="shared" si="55"/>
        <v>0</v>
      </c>
      <c r="BG53" s="41">
        <f t="shared" si="55"/>
        <v>0</v>
      </c>
      <c r="BH53" s="41">
        <f t="shared" si="55"/>
        <v>0</v>
      </c>
      <c r="BI53" s="41">
        <f t="shared" si="55"/>
        <v>0</v>
      </c>
      <c r="BJ53" s="41">
        <f t="shared" si="55"/>
        <v>0</v>
      </c>
      <c r="BK53" s="41">
        <f t="shared" si="55"/>
        <v>0</v>
      </c>
    </row>
    <row r="54" spans="1:64" s="42" customFormat="1" x14ac:dyDescent="0.3">
      <c r="A54" s="45"/>
      <c r="B54" s="46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</row>
    <row r="55" spans="1:64" x14ac:dyDescent="0.3">
      <c r="A55" s="153" t="s">
        <v>273</v>
      </c>
      <c r="B55" s="154"/>
      <c r="C55" s="37">
        <v>0</v>
      </c>
      <c r="D55" s="37">
        <f t="shared" ref="D55:AI55" si="56">C56</f>
        <v>5618000</v>
      </c>
      <c r="E55" s="37">
        <f t="shared" si="56"/>
        <v>675079.66666666698</v>
      </c>
      <c r="F55" s="37">
        <f t="shared" si="56"/>
        <v>-4071160.666666666</v>
      </c>
      <c r="G55" s="37">
        <f t="shared" si="56"/>
        <v>-8542049</v>
      </c>
      <c r="H55" s="37">
        <f t="shared" si="56"/>
        <v>-12698249.333333332</v>
      </c>
      <c r="I55" s="37">
        <f t="shared" si="56"/>
        <v>-16539761.666666666</v>
      </c>
      <c r="J55" s="37">
        <f t="shared" si="56"/>
        <v>-20105922</v>
      </c>
      <c r="K55" s="37">
        <f t="shared" si="56"/>
        <v>-25132472.333333332</v>
      </c>
      <c r="L55" s="37">
        <f t="shared" si="56"/>
        <v>-28015662.666666664</v>
      </c>
      <c r="M55" s="37">
        <f t="shared" si="56"/>
        <v>-30505492.999999996</v>
      </c>
      <c r="N55" s="37">
        <f t="shared" si="56"/>
        <v>-32601963.333333328</v>
      </c>
      <c r="O55" s="37">
        <f t="shared" si="56"/>
        <v>-34305073.666666664</v>
      </c>
      <c r="P55" s="37">
        <f t="shared" si="56"/>
        <v>-35418144</v>
      </c>
      <c r="Q55" s="37">
        <f t="shared" si="56"/>
        <v>-50860608</v>
      </c>
      <c r="R55" s="37">
        <f t="shared" si="56"/>
        <v>-60231768</v>
      </c>
      <c r="S55" s="37">
        <f t="shared" si="56"/>
        <v>-68816624</v>
      </c>
      <c r="T55" s="37">
        <f t="shared" si="56"/>
        <v>-76615176</v>
      </c>
      <c r="U55" s="37">
        <f t="shared" si="56"/>
        <v>-83430848</v>
      </c>
      <c r="V55" s="37">
        <f t="shared" si="56"/>
        <v>-89263640</v>
      </c>
      <c r="W55" s="37">
        <f t="shared" si="56"/>
        <v>-99063552</v>
      </c>
      <c r="X55" s="37">
        <f t="shared" si="56"/>
        <v>-102734008</v>
      </c>
      <c r="Y55" s="37">
        <f t="shared" si="56"/>
        <v>-105225008</v>
      </c>
      <c r="Z55" s="37">
        <f t="shared" si="56"/>
        <v>-106536552</v>
      </c>
      <c r="AA55" s="37">
        <f t="shared" si="56"/>
        <v>-106668640</v>
      </c>
      <c r="AB55" s="37">
        <f>AA56</f>
        <v>-105228120</v>
      </c>
      <c r="AC55" s="37">
        <f t="shared" si="56"/>
        <v>-128731318.66666666</v>
      </c>
      <c r="AD55" s="37">
        <f t="shared" si="56"/>
        <v>-135713741.33333331</v>
      </c>
      <c r="AE55" s="37">
        <f t="shared" si="56"/>
        <v>-140927915.99999997</v>
      </c>
      <c r="AF55" s="37">
        <f t="shared" si="56"/>
        <v>-144373842.66666663</v>
      </c>
      <c r="AG55" s="37">
        <f t="shared" si="56"/>
        <v>-145855049.33333328</v>
      </c>
      <c r="AH55" s="37">
        <f t="shared" si="56"/>
        <v>-145371535.99999994</v>
      </c>
      <c r="AI55" s="37">
        <f t="shared" si="56"/>
        <v>-151776830.6666666</v>
      </c>
      <c r="AJ55" s="37">
        <f t="shared" ref="AJ55:BK55" si="57">AI56</f>
        <v>-146970933.33333325</v>
      </c>
      <c r="AK55" s="37">
        <f t="shared" si="57"/>
        <v>-139807371.99999991</v>
      </c>
      <c r="AL55" s="37">
        <f t="shared" si="57"/>
        <v>-130286146.66666657</v>
      </c>
      <c r="AM55" s="37">
        <f t="shared" si="57"/>
        <v>-118407257.33333322</v>
      </c>
      <c r="AN55" s="37">
        <f t="shared" si="57"/>
        <v>-103777759.9999999</v>
      </c>
      <c r="AO55" s="37">
        <f t="shared" si="57"/>
        <v>-136785962.89999992</v>
      </c>
      <c r="AP55" s="37" t="e">
        <f t="shared" si="57"/>
        <v>#REF!</v>
      </c>
      <c r="AQ55" s="37" t="e">
        <f t="shared" si="57"/>
        <v>#REF!</v>
      </c>
      <c r="AR55" s="37" t="e">
        <f t="shared" si="57"/>
        <v>#REF!</v>
      </c>
      <c r="AS55" s="37" t="e">
        <f t="shared" si="57"/>
        <v>#REF!</v>
      </c>
      <c r="AT55" s="37" t="e">
        <f t="shared" si="57"/>
        <v>#REF!</v>
      </c>
      <c r="AU55" s="37" t="e">
        <f t="shared" si="57"/>
        <v>#REF!</v>
      </c>
      <c r="AV55" s="37" t="e">
        <f t="shared" si="57"/>
        <v>#REF!</v>
      </c>
      <c r="AW55" s="37" t="e">
        <f t="shared" si="57"/>
        <v>#REF!</v>
      </c>
      <c r="AX55" s="37" t="e">
        <f t="shared" si="57"/>
        <v>#REF!</v>
      </c>
      <c r="AY55" s="37" t="e">
        <f t="shared" si="57"/>
        <v>#REF!</v>
      </c>
      <c r="AZ55" s="37" t="e">
        <f t="shared" si="57"/>
        <v>#REF!</v>
      </c>
      <c r="BA55" s="37" t="e">
        <f t="shared" si="57"/>
        <v>#REF!</v>
      </c>
      <c r="BB55" s="37" t="e">
        <f t="shared" si="57"/>
        <v>#REF!</v>
      </c>
      <c r="BC55" s="37" t="e">
        <f t="shared" si="57"/>
        <v>#REF!</v>
      </c>
      <c r="BD55" s="37" t="e">
        <f t="shared" si="57"/>
        <v>#REF!</v>
      </c>
      <c r="BE55" s="37" t="e">
        <f t="shared" si="57"/>
        <v>#REF!</v>
      </c>
      <c r="BF55" s="37" t="e">
        <f t="shared" si="57"/>
        <v>#REF!</v>
      </c>
      <c r="BG55" s="37" t="e">
        <f t="shared" si="57"/>
        <v>#REF!</v>
      </c>
      <c r="BH55" s="37" t="e">
        <f t="shared" si="57"/>
        <v>#REF!</v>
      </c>
      <c r="BI55" s="37" t="e">
        <f t="shared" si="57"/>
        <v>#REF!</v>
      </c>
      <c r="BJ55" s="37" t="e">
        <f t="shared" si="57"/>
        <v>#REF!</v>
      </c>
      <c r="BK55" s="37" t="e">
        <f t="shared" si="57"/>
        <v>#REF!</v>
      </c>
    </row>
    <row r="56" spans="1:64" x14ac:dyDescent="0.3">
      <c r="A56" s="147" t="s">
        <v>274</v>
      </c>
      <c r="B56" s="148"/>
      <c r="C56" s="47">
        <f>C36+C44+C53+C55</f>
        <v>5618000</v>
      </c>
      <c r="D56" s="47">
        <f>D36+D44+D53+D55</f>
        <v>675079.66666666698</v>
      </c>
      <c r="E56" s="47">
        <f t="shared" ref="E56:AH56" si="58">E36+E44+E53+E55</f>
        <v>-4071160.666666666</v>
      </c>
      <c r="F56" s="47">
        <f t="shared" si="58"/>
        <v>-8542049</v>
      </c>
      <c r="G56" s="47">
        <f t="shared" si="58"/>
        <v>-12698249.333333332</v>
      </c>
      <c r="H56" s="47">
        <f t="shared" si="58"/>
        <v>-16539761.666666666</v>
      </c>
      <c r="I56" s="47">
        <f t="shared" si="58"/>
        <v>-20105922</v>
      </c>
      <c r="J56" s="47">
        <f t="shared" si="58"/>
        <v>-25132472.333333332</v>
      </c>
      <c r="K56" s="47">
        <f t="shared" si="58"/>
        <v>-28015662.666666664</v>
      </c>
      <c r="L56" s="47">
        <f t="shared" si="58"/>
        <v>-30505492.999999996</v>
      </c>
      <c r="M56" s="47">
        <f t="shared" si="58"/>
        <v>-32601963.333333328</v>
      </c>
      <c r="N56" s="47">
        <f t="shared" si="58"/>
        <v>-34305073.666666664</v>
      </c>
      <c r="O56" s="47">
        <f t="shared" si="58"/>
        <v>-35418144</v>
      </c>
      <c r="P56" s="47">
        <f t="shared" si="58"/>
        <v>-50860608</v>
      </c>
      <c r="Q56" s="47">
        <f t="shared" si="58"/>
        <v>-60231768</v>
      </c>
      <c r="R56" s="47">
        <f t="shared" si="58"/>
        <v>-68816624</v>
      </c>
      <c r="S56" s="47">
        <f t="shared" si="58"/>
        <v>-76615176</v>
      </c>
      <c r="T56" s="47">
        <f t="shared" si="58"/>
        <v>-83430848</v>
      </c>
      <c r="U56" s="47">
        <f t="shared" si="58"/>
        <v>-89263640</v>
      </c>
      <c r="V56" s="47">
        <f t="shared" si="58"/>
        <v>-99063552</v>
      </c>
      <c r="W56" s="47">
        <f t="shared" si="58"/>
        <v>-102734008</v>
      </c>
      <c r="X56" s="47">
        <f t="shared" si="58"/>
        <v>-105225008</v>
      </c>
      <c r="Y56" s="47">
        <f t="shared" si="58"/>
        <v>-106536552</v>
      </c>
      <c r="Z56" s="47">
        <f t="shared" si="58"/>
        <v>-106668640</v>
      </c>
      <c r="AA56" s="47">
        <f>AA36+AA44+AA53+AA55</f>
        <v>-105228120</v>
      </c>
      <c r="AB56" s="47">
        <f>AB36+AB44+AB53+AB55</f>
        <v>-128731318.66666666</v>
      </c>
      <c r="AC56" s="47">
        <f t="shared" si="58"/>
        <v>-135713741.33333331</v>
      </c>
      <c r="AD56" s="47">
        <f t="shared" si="58"/>
        <v>-140927915.99999997</v>
      </c>
      <c r="AE56" s="47">
        <f t="shared" si="58"/>
        <v>-144373842.66666663</v>
      </c>
      <c r="AF56" s="47">
        <f t="shared" si="58"/>
        <v>-145855049.33333328</v>
      </c>
      <c r="AG56" s="47">
        <f t="shared" si="58"/>
        <v>-145371535.99999994</v>
      </c>
      <c r="AH56" s="47">
        <f t="shared" si="58"/>
        <v>-151776830.6666666</v>
      </c>
      <c r="AI56" s="47">
        <f t="shared" ref="AI56:BK56" si="59">AI36+AI44+AI53+AI55</f>
        <v>-146970933.33333325</v>
      </c>
      <c r="AJ56" s="47">
        <f t="shared" si="59"/>
        <v>-139807371.99999991</v>
      </c>
      <c r="AK56" s="47">
        <f t="shared" si="59"/>
        <v>-130286146.66666657</v>
      </c>
      <c r="AL56" s="47">
        <f t="shared" si="59"/>
        <v>-118407257.33333322</v>
      </c>
      <c r="AM56" s="47">
        <f t="shared" si="59"/>
        <v>-103777759.9999999</v>
      </c>
      <c r="AN56" s="47">
        <f t="shared" si="59"/>
        <v>-136785962.89999992</v>
      </c>
      <c r="AO56" s="47" t="e">
        <f t="shared" si="59"/>
        <v>#REF!</v>
      </c>
      <c r="AP56" s="47" t="e">
        <f t="shared" si="59"/>
        <v>#REF!</v>
      </c>
      <c r="AQ56" s="47" t="e">
        <f t="shared" si="59"/>
        <v>#REF!</v>
      </c>
      <c r="AR56" s="47" t="e">
        <f t="shared" si="59"/>
        <v>#REF!</v>
      </c>
      <c r="AS56" s="47" t="e">
        <f t="shared" si="59"/>
        <v>#REF!</v>
      </c>
      <c r="AT56" s="47" t="e">
        <f t="shared" si="59"/>
        <v>#REF!</v>
      </c>
      <c r="AU56" s="47" t="e">
        <f t="shared" si="59"/>
        <v>#REF!</v>
      </c>
      <c r="AV56" s="47" t="e">
        <f t="shared" si="59"/>
        <v>#REF!</v>
      </c>
      <c r="AW56" s="47" t="e">
        <f t="shared" si="59"/>
        <v>#REF!</v>
      </c>
      <c r="AX56" s="47" t="e">
        <f t="shared" si="59"/>
        <v>#REF!</v>
      </c>
      <c r="AY56" s="47" t="e">
        <f t="shared" si="59"/>
        <v>#REF!</v>
      </c>
      <c r="AZ56" s="47" t="e">
        <f t="shared" si="59"/>
        <v>#REF!</v>
      </c>
      <c r="BA56" s="47" t="e">
        <f t="shared" si="59"/>
        <v>#REF!</v>
      </c>
      <c r="BB56" s="47" t="e">
        <f t="shared" si="59"/>
        <v>#REF!</v>
      </c>
      <c r="BC56" s="47" t="e">
        <f t="shared" si="59"/>
        <v>#REF!</v>
      </c>
      <c r="BD56" s="47" t="e">
        <f t="shared" si="59"/>
        <v>#REF!</v>
      </c>
      <c r="BE56" s="47" t="e">
        <f t="shared" si="59"/>
        <v>#REF!</v>
      </c>
      <c r="BF56" s="47" t="e">
        <f t="shared" si="59"/>
        <v>#REF!</v>
      </c>
      <c r="BG56" s="47" t="e">
        <f t="shared" si="59"/>
        <v>#REF!</v>
      </c>
      <c r="BH56" s="47" t="e">
        <f t="shared" si="59"/>
        <v>#REF!</v>
      </c>
      <c r="BI56" s="47" t="e">
        <f t="shared" si="59"/>
        <v>#REF!</v>
      </c>
      <c r="BJ56" s="47" t="e">
        <f t="shared" si="59"/>
        <v>#REF!</v>
      </c>
      <c r="BK56" s="47" t="e">
        <f t="shared" si="59"/>
        <v>#REF!</v>
      </c>
    </row>
    <row r="57" spans="1:64" s="48" customFormat="1" x14ac:dyDescent="0.3"/>
    <row r="58" spans="1:64" s="48" customFormat="1" x14ac:dyDescent="0.3"/>
    <row r="59" spans="1:64" x14ac:dyDescent="0.3">
      <c r="A59" s="139" t="s">
        <v>275</v>
      </c>
      <c r="B59" s="140"/>
      <c r="C59" s="11">
        <f>Año1</f>
        <v>2027</v>
      </c>
      <c r="D59" s="4">
        <f>Año2</f>
        <v>2028</v>
      </c>
      <c r="E59" s="11">
        <f>Año3</f>
        <v>2029</v>
      </c>
      <c r="F59" s="4">
        <f>Año4</f>
        <v>2030</v>
      </c>
      <c r="G59" s="11">
        <f>Año5</f>
        <v>2031</v>
      </c>
    </row>
    <row r="60" spans="1:64" x14ac:dyDescent="0.3">
      <c r="A60" s="2" t="s">
        <v>276</v>
      </c>
      <c r="B60" s="22">
        <v>0.1</v>
      </c>
      <c r="C60" s="7">
        <f>(EEFF!C10+EEFF!C12+EEFF!C16)*$B$60</f>
        <v>0</v>
      </c>
      <c r="D60" s="7">
        <f>(EEFF!D10+EEFF!D12+EEFF!D16)*$B$60</f>
        <v>7212114.4000000022</v>
      </c>
      <c r="E60" s="7">
        <f>(EEFF!E10+EEFF!E12+EEFF!E16)*$B$60</f>
        <v>20287397.599999994</v>
      </c>
      <c r="F60" s="7">
        <f>(EEFF!F10+EEFF!F12+EEFF!F16)*$B$60</f>
        <v>36213163.999999993</v>
      </c>
      <c r="G60" s="7">
        <f>(EEFF!G10+EEFF!G12+EEFF!G16)*$B$60</f>
        <v>52468887.199999981</v>
      </c>
    </row>
    <row r="61" spans="1:64" x14ac:dyDescent="0.3">
      <c r="A61" s="2" t="s">
        <v>277</v>
      </c>
      <c r="B61" s="7" t="e">
        <f>IF(MIN(C56:BK56)&lt;0,MIN(C56:BK56),0)</f>
        <v>#REF!</v>
      </c>
    </row>
    <row r="62" spans="1:64" x14ac:dyDescent="0.3">
      <c r="A62" s="49"/>
      <c r="B62" s="49"/>
      <c r="C62" s="49"/>
      <c r="D62" s="49"/>
      <c r="E62" s="49"/>
      <c r="F62" s="49"/>
      <c r="G62" s="49"/>
    </row>
    <row r="64" spans="1:64" s="75" customFormat="1" ht="12" x14ac:dyDescent="0.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</row>
    <row r="65" spans="1:7" s="75" customFormat="1" ht="12" x14ac:dyDescent="0.25">
      <c r="A65" s="76" t="s">
        <v>60</v>
      </c>
    </row>
    <row r="66" spans="1:7" s="75" customFormat="1" ht="12" x14ac:dyDescent="0.25">
      <c r="A66" s="76" t="s">
        <v>61</v>
      </c>
    </row>
    <row r="67" spans="1:7" s="75" customFormat="1" ht="12" x14ac:dyDescent="0.25">
      <c r="A67" s="76" t="s">
        <v>130</v>
      </c>
    </row>
    <row r="68" spans="1:7" s="75" customFormat="1" ht="12" x14ac:dyDescent="0.25">
      <c r="A68" s="76" t="s">
        <v>63</v>
      </c>
    </row>
    <row r="69" spans="1:7" s="75" customFormat="1" ht="12" x14ac:dyDescent="0.25">
      <c r="A69" s="117" t="s">
        <v>64</v>
      </c>
      <c r="B69" s="117"/>
      <c r="C69" s="117"/>
      <c r="D69" s="117"/>
      <c r="E69" s="117"/>
      <c r="F69" s="117"/>
      <c r="G69" s="117"/>
    </row>
  </sheetData>
  <sheetProtection formatColumns="0"/>
  <mergeCells count="57">
    <mergeCell ref="A59:B59"/>
    <mergeCell ref="A49:B49"/>
    <mergeCell ref="A50:B50"/>
    <mergeCell ref="A51:B51"/>
    <mergeCell ref="A52:B52"/>
    <mergeCell ref="A56:B56"/>
    <mergeCell ref="A55:B55"/>
    <mergeCell ref="A53:B53"/>
    <mergeCell ref="A45:B45"/>
    <mergeCell ref="A46:B46"/>
    <mergeCell ref="A47:B47"/>
    <mergeCell ref="A48:B48"/>
    <mergeCell ref="AB31:AM31"/>
    <mergeCell ref="A36:B36"/>
    <mergeCell ref="A37:B37"/>
    <mergeCell ref="A38:B38"/>
    <mergeCell ref="A44:B44"/>
    <mergeCell ref="A41:B41"/>
    <mergeCell ref="AN31:AY31"/>
    <mergeCell ref="AZ31:BK31"/>
    <mergeCell ref="A33:B33"/>
    <mergeCell ref="A34:B34"/>
    <mergeCell ref="A35:B35"/>
    <mergeCell ref="P31:AA31"/>
    <mergeCell ref="A26:B26"/>
    <mergeCell ref="A27:B27"/>
    <mergeCell ref="A29:B29"/>
    <mergeCell ref="D31:O31"/>
    <mergeCell ref="A31:B32"/>
    <mergeCell ref="D21:O21"/>
    <mergeCell ref="P21:AA21"/>
    <mergeCell ref="AB21:AM21"/>
    <mergeCell ref="AN21:AY21"/>
    <mergeCell ref="AZ21:BK21"/>
    <mergeCell ref="AN7:AY7"/>
    <mergeCell ref="AZ7:BK7"/>
    <mergeCell ref="A9:B9"/>
    <mergeCell ref="A10:B10"/>
    <mergeCell ref="A11:B11"/>
    <mergeCell ref="P7:AA7"/>
    <mergeCell ref="AB7:AM7"/>
    <mergeCell ref="A69:G69"/>
    <mergeCell ref="A12:B12"/>
    <mergeCell ref="D1:O4"/>
    <mergeCell ref="D5:O5"/>
    <mergeCell ref="D7:O7"/>
    <mergeCell ref="A7:B8"/>
    <mergeCell ref="A25:B25"/>
    <mergeCell ref="A23:B23"/>
    <mergeCell ref="A24:B24"/>
    <mergeCell ref="A14:B14"/>
    <mergeCell ref="A15:B15"/>
    <mergeCell ref="A16:B16"/>
    <mergeCell ref="A17:B17"/>
    <mergeCell ref="A18:B18"/>
    <mergeCell ref="A19:B19"/>
    <mergeCell ref="A21:B22"/>
  </mergeCells>
  <conditionalFormatting sqref="A57:XFD58">
    <cfRule type="cellIs" dxfId="4" priority="5" operator="equal">
      <formula>"OK"</formula>
    </cfRule>
    <cfRule type="cellIs" dxfId="3" priority="6" operator="equal">
      <formula>"FALTANTE"</formula>
    </cfRule>
  </conditionalFormatting>
  <conditionalFormatting sqref="C56:BK56">
    <cfRule type="cellIs" dxfId="2" priority="7" operator="greaterThan">
      <formula>0</formula>
    </cfRule>
    <cfRule type="cellIs" dxfId="1" priority="8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BI46"/>
  <sheetViews>
    <sheetView showGridLines="0" zoomScale="170" zoomScaleNormal="170" workbookViewId="0">
      <selection activeCell="A54" sqref="A54"/>
    </sheetView>
  </sheetViews>
  <sheetFormatPr baseColWidth="10" defaultColWidth="10.8984375" defaultRowHeight="10.199999999999999" x14ac:dyDescent="0.2"/>
  <cols>
    <col min="1" max="1" width="28.59765625" style="68" bestFit="1" customWidth="1"/>
    <col min="2" max="2" width="5.8984375" style="68" customWidth="1"/>
    <col min="3" max="3" width="19.8984375" style="68" bestFit="1" customWidth="1"/>
    <col min="4" max="7" width="18" style="68" customWidth="1"/>
    <col min="8" max="8" width="19.8984375" style="68" bestFit="1" customWidth="1"/>
    <col min="9" max="10" width="14.59765625" style="68" bestFit="1" customWidth="1"/>
    <col min="11" max="16384" width="10.8984375" style="68"/>
  </cols>
  <sheetData>
    <row r="1" spans="1:8" ht="15.9" customHeight="1" x14ac:dyDescent="0.2"/>
    <row r="2" spans="1:8" ht="15.9" customHeight="1" x14ac:dyDescent="0.2"/>
    <row r="3" spans="1:8" ht="15.9" customHeight="1" x14ac:dyDescent="0.2"/>
    <row r="4" spans="1:8" ht="15.9" customHeight="1" x14ac:dyDescent="0.2"/>
    <row r="7" spans="1:8" customFormat="1" ht="15.6" x14ac:dyDescent="0.3">
      <c r="A7" s="137" t="s">
        <v>233</v>
      </c>
      <c r="B7" s="138"/>
      <c r="C7" s="155">
        <f>Año1-1</f>
        <v>2026</v>
      </c>
      <c r="D7" s="155">
        <f>Año1</f>
        <v>2027</v>
      </c>
      <c r="E7" s="155">
        <f>Año2</f>
        <v>2028</v>
      </c>
      <c r="F7" s="155">
        <f>Año3</f>
        <v>2029</v>
      </c>
      <c r="G7" s="155">
        <f>Año4</f>
        <v>2030</v>
      </c>
      <c r="H7" s="155">
        <f>Año5</f>
        <v>2031</v>
      </c>
    </row>
    <row r="8" spans="1:8" customFormat="1" ht="15.6" x14ac:dyDescent="0.3">
      <c r="A8" s="139"/>
      <c r="B8" s="140"/>
      <c r="C8" s="156"/>
      <c r="D8" s="156"/>
      <c r="E8" s="156"/>
      <c r="F8" s="156"/>
      <c r="G8" s="156"/>
      <c r="H8" s="156"/>
    </row>
    <row r="9" spans="1:8" customFormat="1" ht="15.6" x14ac:dyDescent="0.3">
      <c r="A9" s="158" t="s">
        <v>234</v>
      </c>
      <c r="B9" s="159"/>
      <c r="C9" s="81">
        <f>PRESUPUESTO!C9</f>
        <v>0</v>
      </c>
      <c r="D9" s="81">
        <f>SUM(PRESUPUESTO!D9:O9)</f>
        <v>25800000</v>
      </c>
      <c r="E9" s="81">
        <f>SUM(PRESUPUESTO!P9:AA9)</f>
        <v>123400000</v>
      </c>
      <c r="F9" s="81">
        <f>SUM(PRESUPUESTO!AB9:AM9)</f>
        <v>351200000</v>
      </c>
      <c r="G9" s="81">
        <f>SUM(PRESUPUESTO!AN9:AY9)</f>
        <v>743200000</v>
      </c>
      <c r="H9" s="81">
        <f>SUM(PRESUPUESTO!AZ9:BK9)</f>
        <v>84800000</v>
      </c>
    </row>
    <row r="10" spans="1:8" customFormat="1" ht="15.6" x14ac:dyDescent="0.3">
      <c r="A10" s="158" t="s">
        <v>235</v>
      </c>
      <c r="B10" s="159"/>
      <c r="C10" s="81"/>
      <c r="D10" s="81">
        <f>SUM(PRESUPUESTO!D10:O10)</f>
        <v>68317144.000000015</v>
      </c>
      <c r="E10" s="81">
        <f>SUM(PRESUPUESTO!P10:AA10)</f>
        <v>143494775.99999997</v>
      </c>
      <c r="F10" s="81">
        <f>SUM(PRESUPUESTO!AB10:AM10)</f>
        <v>253991767.99999991</v>
      </c>
      <c r="G10" s="81">
        <f>SUM(PRESUPUESTO!AN10:AY10)</f>
        <v>406748871.99999982</v>
      </c>
      <c r="H10" s="81">
        <f>SUM(PRESUPUESTO!AZ10:BK10)</f>
        <v>34328707.333333328</v>
      </c>
    </row>
    <row r="11" spans="1:8" customFormat="1" ht="15.6" x14ac:dyDescent="0.3">
      <c r="A11" s="158" t="s">
        <v>236</v>
      </c>
      <c r="B11" s="159"/>
      <c r="C11" s="81">
        <f>C9-C10</f>
        <v>0</v>
      </c>
      <c r="D11" s="81">
        <f>SUM(PRESUPUESTO!D11:O11)</f>
        <v>-42517144.000000007</v>
      </c>
      <c r="E11" s="81">
        <f>SUM(PRESUPUESTO!P11:AA11)</f>
        <v>-20094775.999999985</v>
      </c>
      <c r="F11" s="81">
        <f>SUM(PRESUPUESTO!AB11:AM11)</f>
        <v>97208232.00000003</v>
      </c>
      <c r="G11" s="81">
        <f>SUM(PRESUPUESTO!AN11:AY11)</f>
        <v>336451128.00000012</v>
      </c>
      <c r="H11" s="81">
        <f>SUM(PRESUPUESTO!AZ11:BK11)</f>
        <v>50471292.666666672</v>
      </c>
    </row>
    <row r="12" spans="1:8" customFormat="1" ht="15.6" x14ac:dyDescent="0.3">
      <c r="A12" s="158" t="s">
        <v>237</v>
      </c>
      <c r="B12" s="159"/>
      <c r="C12" s="81"/>
      <c r="D12" s="81">
        <f>SUM(PRESUPUESTO!D12:O12)</f>
        <v>3804000</v>
      </c>
      <c r="E12" s="81">
        <f>SUM(PRESUPUESTO!P12:AA12)</f>
        <v>59379199.999999978</v>
      </c>
      <c r="F12" s="81">
        <f>SUM(PRESUPUESTO!AB12:AM12)</f>
        <v>108139872</v>
      </c>
      <c r="G12" s="81">
        <f>SUM(PRESUPUESTO!AN12:AY12)</f>
        <v>117939999.99999996</v>
      </c>
      <c r="H12" s="81">
        <f>SUM(PRESUPUESTO!AZ12:BK12)</f>
        <v>10253133.333333332</v>
      </c>
    </row>
    <row r="13" spans="1:8" customFormat="1" ht="15.6" x14ac:dyDescent="0.3">
      <c r="A13" s="79" t="s">
        <v>238</v>
      </c>
      <c r="B13" s="80"/>
      <c r="C13" s="81">
        <f>PRESUPUESTO!C13</f>
        <v>2382000</v>
      </c>
      <c r="D13" s="81">
        <f>SUM(PRESUPUESTO!D13:O13)</f>
        <v>0</v>
      </c>
      <c r="E13" s="81">
        <f>SUM(PRESUPUESTO!P13:AA13)</f>
        <v>0</v>
      </c>
      <c r="F13" s="81">
        <f>SUM(PRESUPUESTO!AB13:AM13)</f>
        <v>0</v>
      </c>
      <c r="G13" s="81">
        <f>SUM(PRESUPUESTO!AN13:AY13)</f>
        <v>0</v>
      </c>
      <c r="H13" s="81">
        <f>SUM(PRESUPUESTO!AZ13:BK13)</f>
        <v>0</v>
      </c>
    </row>
    <row r="14" spans="1:8" customFormat="1" ht="15.6" x14ac:dyDescent="0.3">
      <c r="A14" s="158" t="s">
        <v>239</v>
      </c>
      <c r="B14" s="159"/>
      <c r="C14" s="81"/>
      <c r="D14" s="81">
        <f>SUM(PRESUPUESTO!D14:O14)</f>
        <v>0</v>
      </c>
      <c r="E14" s="81">
        <f>SUM(PRESUPUESTO!P14:AA14)</f>
        <v>0</v>
      </c>
      <c r="F14" s="81">
        <f>SUM(PRESUPUESTO!AB14:AM14)</f>
        <v>0</v>
      </c>
      <c r="G14" s="81">
        <f>SUM(PRESUPUESTO!AN14:AY14)</f>
        <v>0</v>
      </c>
      <c r="H14" s="81">
        <f>SUM(PRESUPUESTO!AZ14:BK14)</f>
        <v>0</v>
      </c>
    </row>
    <row r="15" spans="1:8" customFormat="1" ht="15.6" x14ac:dyDescent="0.3">
      <c r="A15" s="158" t="s">
        <v>240</v>
      </c>
      <c r="B15" s="159"/>
      <c r="C15" s="81">
        <f>C11-C12-C13-C14</f>
        <v>-2382000</v>
      </c>
      <c r="D15" s="81">
        <f>SUM(PRESUPUESTO!D15:O15)</f>
        <v>-46321144.000000007</v>
      </c>
      <c r="E15" s="81">
        <f>SUM(PRESUPUESTO!P15:AA15)</f>
        <v>-79473975.999999985</v>
      </c>
      <c r="F15" s="81">
        <f>SUM(PRESUPUESTO!AB15:AM15)</f>
        <v>-10931639.99999997</v>
      </c>
      <c r="G15" s="81">
        <f>SUM(PRESUPUESTO!AN15:AY15)</f>
        <v>218511128.00000009</v>
      </c>
      <c r="H15" s="81">
        <f>SUM(PRESUPUESTO!AZ15:BK15)</f>
        <v>40218159.333333343</v>
      </c>
    </row>
    <row r="16" spans="1:8" customFormat="1" ht="15.6" x14ac:dyDescent="0.3">
      <c r="A16" s="158" t="s">
        <v>241</v>
      </c>
      <c r="B16" s="159"/>
      <c r="C16" s="81"/>
      <c r="D16" s="81">
        <f>SUM(PRESUPUESTO!D16:O16)</f>
        <v>0</v>
      </c>
      <c r="E16" s="81">
        <f>SUM(PRESUPUESTO!P16:AA16)</f>
        <v>0</v>
      </c>
      <c r="F16" s="81">
        <f>SUM(PRESUPUESTO!AB16:AM16)</f>
        <v>0</v>
      </c>
      <c r="G16" s="81">
        <f>SUM(PRESUPUESTO!AN16:AY16)</f>
        <v>0</v>
      </c>
      <c r="H16" s="81">
        <f>SUM(PRESUPUESTO!AZ16:BK16)</f>
        <v>0</v>
      </c>
    </row>
    <row r="17" spans="1:9" customFormat="1" ht="15.6" x14ac:dyDescent="0.3">
      <c r="A17" s="158" t="s">
        <v>242</v>
      </c>
      <c r="B17" s="159"/>
      <c r="C17" s="81">
        <f>C15-C16</f>
        <v>-2382000</v>
      </c>
      <c r="D17" s="81">
        <f>SUM(PRESUPUESTO!D17:O17)</f>
        <v>-46321144.000000007</v>
      </c>
      <c r="E17" s="81">
        <f>SUM(PRESUPUESTO!P17:AA17)</f>
        <v>-79473975.999999985</v>
      </c>
      <c r="F17" s="81">
        <f>SUM(PRESUPUESTO!AB17:AM17)</f>
        <v>-10931639.99999997</v>
      </c>
      <c r="G17" s="81">
        <f>SUM(PRESUPUESTO!AN17:AY17)</f>
        <v>218511128.00000009</v>
      </c>
      <c r="H17" s="81">
        <f>SUM(PRESUPUESTO!AZ17:BK17)</f>
        <v>40218159.333333343</v>
      </c>
      <c r="I17" s="82"/>
    </row>
    <row r="18" spans="1:9" customFormat="1" ht="15.6" x14ac:dyDescent="0.3">
      <c r="A18" s="158" t="s">
        <v>243</v>
      </c>
      <c r="B18" s="159"/>
      <c r="C18" s="81"/>
      <c r="D18" s="81">
        <f>IF(D17&lt;0,0,D17*INICIO!B34)</f>
        <v>0</v>
      </c>
      <c r="E18" s="81">
        <f>IF(E17&lt;0,0,E17*INICIO!C34)</f>
        <v>0</v>
      </c>
      <c r="F18" s="81">
        <f>IF(F17&lt;0,0,F17*INICIO!D34)</f>
        <v>0</v>
      </c>
      <c r="G18" s="81">
        <f>IF(G17&lt;0,0,G17*INICIO!E34)</f>
        <v>76478894.800000027</v>
      </c>
      <c r="H18" s="81">
        <f>IF(H17&lt;0,0,H17*INICIO!F34)</f>
        <v>14076355.766666669</v>
      </c>
    </row>
    <row r="19" spans="1:9" customFormat="1" ht="15.6" x14ac:dyDescent="0.3">
      <c r="A19" s="158" t="s">
        <v>244</v>
      </c>
      <c r="B19" s="159"/>
      <c r="C19" s="81">
        <f>C17-C18</f>
        <v>-2382000</v>
      </c>
      <c r="D19" s="81">
        <f>D17-D18</f>
        <v>-46321144.000000007</v>
      </c>
      <c r="E19" s="81">
        <f t="shared" ref="E19:H19" si="0">E17-E18</f>
        <v>-79473975.999999985</v>
      </c>
      <c r="F19" s="81">
        <f t="shared" si="0"/>
        <v>-10931639.99999997</v>
      </c>
      <c r="G19" s="81">
        <f t="shared" si="0"/>
        <v>142032233.20000005</v>
      </c>
      <c r="H19" s="81">
        <f t="shared" si="0"/>
        <v>26141803.566666674</v>
      </c>
    </row>
    <row r="20" spans="1:9" customFormat="1" ht="15.6" x14ac:dyDescent="0.3"/>
    <row r="21" spans="1:9" customFormat="1" ht="15.6" x14ac:dyDescent="0.3">
      <c r="A21" s="50" t="s">
        <v>245</v>
      </c>
      <c r="B21" s="83"/>
      <c r="C21" s="11">
        <f>Año1-1</f>
        <v>2026</v>
      </c>
      <c r="D21" s="11">
        <f>Año1</f>
        <v>2027</v>
      </c>
      <c r="E21" s="11">
        <f>Año2</f>
        <v>2028</v>
      </c>
      <c r="F21" s="11">
        <f>Año3</f>
        <v>2029</v>
      </c>
      <c r="G21" s="11">
        <f>Año4</f>
        <v>2030</v>
      </c>
      <c r="H21" s="11">
        <f>Año5</f>
        <v>2031</v>
      </c>
    </row>
    <row r="22" spans="1:9" customFormat="1" ht="15.6" x14ac:dyDescent="0.3">
      <c r="A22" s="104" t="s">
        <v>246</v>
      </c>
      <c r="B22" s="105"/>
      <c r="C22" s="12"/>
      <c r="D22" s="81">
        <f>PRESUPUESTO!O23</f>
        <v>0</v>
      </c>
      <c r="E22" s="81">
        <f>PRESUPUESTO!AA23</f>
        <v>0</v>
      </c>
      <c r="F22" s="81">
        <f>PRESUPUESTO!AM23</f>
        <v>0</v>
      </c>
      <c r="G22" s="81">
        <f>PRESUPUESTO!AY23</f>
        <v>0</v>
      </c>
      <c r="H22" s="81">
        <f>PRESUPUESTO!BK23</f>
        <v>0</v>
      </c>
    </row>
    <row r="23" spans="1:9" customFormat="1" ht="15.6" x14ac:dyDescent="0.3">
      <c r="A23" s="104" t="s">
        <v>247</v>
      </c>
      <c r="B23" s="105"/>
      <c r="C23" s="12"/>
      <c r="D23" s="81">
        <f>PRESUPUESTO!O24</f>
        <v>0</v>
      </c>
      <c r="E23" s="81">
        <f>PRESUPUESTO!AA24</f>
        <v>0</v>
      </c>
      <c r="F23" s="81">
        <f>PRESUPUESTO!AM24</f>
        <v>0</v>
      </c>
      <c r="G23" s="81">
        <f>PRESUPUESTO!AY24</f>
        <v>0</v>
      </c>
      <c r="H23" s="81">
        <f>PRESUPUESTO!BK24</f>
        <v>0</v>
      </c>
    </row>
    <row r="24" spans="1:9" customFormat="1" ht="15.6" x14ac:dyDescent="0.3">
      <c r="A24" s="104" t="s">
        <v>248</v>
      </c>
      <c r="B24" s="105"/>
      <c r="C24" s="12"/>
      <c r="D24" s="81">
        <f>PRESUPUESTO!O25</f>
        <v>0</v>
      </c>
      <c r="E24" s="81">
        <f>PRESUPUESTO!AA25</f>
        <v>0</v>
      </c>
      <c r="F24" s="81">
        <f>PRESUPUESTO!AM25</f>
        <v>0</v>
      </c>
      <c r="G24" s="81">
        <f>PRESUPUESTO!AY25</f>
        <v>0</v>
      </c>
      <c r="H24" s="81">
        <f>PRESUPUESTO!BK25</f>
        <v>0</v>
      </c>
    </row>
    <row r="25" spans="1:9" customFormat="1" ht="15.6" x14ac:dyDescent="0.3">
      <c r="A25" s="104" t="s">
        <v>249</v>
      </c>
      <c r="B25" s="105"/>
      <c r="C25" s="14"/>
      <c r="D25" s="81">
        <f>PRESUPUESTO!O26</f>
        <v>0</v>
      </c>
      <c r="E25" s="81">
        <f>PRESUPUESTO!AA26</f>
        <v>0</v>
      </c>
      <c r="F25" s="81">
        <f>PRESUPUESTO!AM26</f>
        <v>11494112.233333338</v>
      </c>
      <c r="G25" s="81">
        <f>PRESUPUESTO!AY26</f>
        <v>76478894.800000012</v>
      </c>
      <c r="H25" s="81">
        <f>PRESUPUESTO!BK26</f>
        <v>14076355.766666669</v>
      </c>
    </row>
    <row r="26" spans="1:9" customFormat="1" ht="15.6" x14ac:dyDescent="0.3">
      <c r="A26" s="104" t="s">
        <v>278</v>
      </c>
      <c r="B26" s="105"/>
      <c r="C26" s="12"/>
      <c r="D26" s="81">
        <f>PRESUPUESTO!O27</f>
        <v>5284999.9999999981</v>
      </c>
      <c r="E26" s="81">
        <f>PRESUPUESTO!AA27</f>
        <v>14949000</v>
      </c>
      <c r="F26" s="81">
        <f>PRESUPUESTO!AM27</f>
        <v>27331000</v>
      </c>
      <c r="G26" s="81">
        <f>PRESUPUESTO!AY27</f>
        <v>40015000</v>
      </c>
      <c r="H26" s="81">
        <f>PRESUPUESTO!BK27</f>
        <v>2230416.6666666665</v>
      </c>
    </row>
    <row r="27" spans="1:9" customFormat="1" ht="15.6" x14ac:dyDescent="0.3">
      <c r="A27" s="72" t="s">
        <v>251</v>
      </c>
      <c r="B27" s="73"/>
      <c r="C27" s="12"/>
      <c r="D27" s="81">
        <f>PRESUPUESTO!O28</f>
        <v>0</v>
      </c>
      <c r="E27" s="81">
        <f>PRESUPUESTO!AA28</f>
        <v>0</v>
      </c>
      <c r="F27" s="81">
        <f>PRESUPUESTO!AM28</f>
        <v>0</v>
      </c>
      <c r="G27" s="81" t="e">
        <f>PRESUPUESTO!AY28</f>
        <v>#REF!</v>
      </c>
      <c r="H27" s="81" t="e">
        <f>PRESUPUESTO!BK28</f>
        <v>#REF!</v>
      </c>
    </row>
    <row r="28" spans="1:9" customFormat="1" ht="15.6" x14ac:dyDescent="0.3">
      <c r="A28" s="104" t="s">
        <v>252</v>
      </c>
      <c r="B28" s="105"/>
      <c r="C28" s="12"/>
      <c r="D28" s="81">
        <f>PRESUPUESTO!O29</f>
        <v>5284999.9999999981</v>
      </c>
      <c r="E28" s="81">
        <f>PRESUPUESTO!AA29</f>
        <v>14949000</v>
      </c>
      <c r="F28" s="81">
        <f>PRESUPUESTO!AM29</f>
        <v>38825112.233333334</v>
      </c>
      <c r="G28" s="81" t="e">
        <f>PRESUPUESTO!AY29</f>
        <v>#REF!</v>
      </c>
      <c r="H28" s="81" t="e">
        <f>PRESUPUESTO!BK29</f>
        <v>#REF!</v>
      </c>
    </row>
    <row r="29" spans="1:9" customFormat="1" ht="15.6" x14ac:dyDescent="0.3"/>
    <row r="30" spans="1:9" customFormat="1" ht="15.6" x14ac:dyDescent="0.3">
      <c r="A30" s="50" t="s">
        <v>279</v>
      </c>
      <c r="B30" s="83"/>
      <c r="C30" s="11">
        <f>Año1-1</f>
        <v>2026</v>
      </c>
      <c r="D30" s="11">
        <f>Año1</f>
        <v>2027</v>
      </c>
      <c r="E30" s="11">
        <f>Año2</f>
        <v>2028</v>
      </c>
      <c r="F30" s="11">
        <f>Año3</f>
        <v>2029</v>
      </c>
      <c r="G30" s="11">
        <f>Año4</f>
        <v>2030</v>
      </c>
      <c r="H30" s="11">
        <f>Año5</f>
        <v>2031</v>
      </c>
    </row>
    <row r="31" spans="1:9" customFormat="1" ht="15.6" x14ac:dyDescent="0.3">
      <c r="A31" s="104" t="s">
        <v>280</v>
      </c>
      <c r="B31" s="105"/>
      <c r="C31" s="81">
        <f>IF(C15&gt;0,C15*(1-INICIO!B34),C15)</f>
        <v>-2382000</v>
      </c>
      <c r="D31" s="81">
        <f>IF(D15&gt;0,D15*(1-INICIO!C34),D15)</f>
        <v>-46321144.000000007</v>
      </c>
      <c r="E31" s="81">
        <f>IF(E15&gt;0,E15*(1-INICIO!D34),E15)</f>
        <v>-79473975.999999985</v>
      </c>
      <c r="F31" s="81">
        <f>IF(F15&gt;0,F15*(1-INICIO!E34),F15)</f>
        <v>-10931639.99999997</v>
      </c>
      <c r="G31" s="81">
        <f>IF(G15&gt;0,G15*(1-INICIO!F34),G15)</f>
        <v>142032233.20000008</v>
      </c>
      <c r="H31" s="81">
        <f>IF(H15&gt;0,H15*(1-INICIO!G34),H15)</f>
        <v>40218159.333333343</v>
      </c>
    </row>
    <row r="32" spans="1:9" customFormat="1" ht="15.6" x14ac:dyDescent="0.3">
      <c r="A32" s="72" t="s">
        <v>281</v>
      </c>
      <c r="B32" s="73"/>
      <c r="C32" s="81">
        <f t="shared" ref="C32:H32" si="1">C14</f>
        <v>0</v>
      </c>
      <c r="D32" s="81">
        <f t="shared" si="1"/>
        <v>0</v>
      </c>
      <c r="E32" s="81">
        <f t="shared" si="1"/>
        <v>0</v>
      </c>
      <c r="F32" s="81">
        <f t="shared" si="1"/>
        <v>0</v>
      </c>
      <c r="G32" s="81">
        <f t="shared" si="1"/>
        <v>0</v>
      </c>
      <c r="H32" s="81">
        <f t="shared" si="1"/>
        <v>0</v>
      </c>
    </row>
    <row r="33" spans="1:61" customFormat="1" ht="15.6" x14ac:dyDescent="0.3">
      <c r="A33" s="85" t="s">
        <v>282</v>
      </c>
      <c r="B33" s="86"/>
      <c r="C33" s="81">
        <f>C22+C23-C24-C28</f>
        <v>0</v>
      </c>
      <c r="D33" s="81">
        <f t="shared" ref="D33:H33" si="2">D22+D23-D24-D28</f>
        <v>-5284999.9999999981</v>
      </c>
      <c r="E33" s="81">
        <f t="shared" si="2"/>
        <v>-14949000</v>
      </c>
      <c r="F33" s="81">
        <f t="shared" si="2"/>
        <v>-38825112.233333334</v>
      </c>
      <c r="G33" s="81" t="e">
        <f t="shared" si="2"/>
        <v>#REF!</v>
      </c>
      <c r="H33" s="81" t="e">
        <f t="shared" si="2"/>
        <v>#REF!</v>
      </c>
    </row>
    <row r="34" spans="1:61" customFormat="1" ht="15.6" x14ac:dyDescent="0.3">
      <c r="A34" s="72" t="s">
        <v>283</v>
      </c>
      <c r="B34" s="73"/>
      <c r="C34" s="81">
        <f>C33-B33</f>
        <v>0</v>
      </c>
      <c r="D34" s="81">
        <f t="shared" ref="D34:H34" si="3">D33-C33</f>
        <v>-5284999.9999999981</v>
      </c>
      <c r="E34" s="81">
        <f t="shared" si="3"/>
        <v>-9664000.0000000019</v>
      </c>
      <c r="F34" s="81">
        <f t="shared" si="3"/>
        <v>-23876112.233333334</v>
      </c>
      <c r="G34" s="81" t="e">
        <f t="shared" si="3"/>
        <v>#REF!</v>
      </c>
      <c r="H34" s="81" t="e">
        <f t="shared" si="3"/>
        <v>#REF!</v>
      </c>
    </row>
    <row r="35" spans="1:61" customFormat="1" ht="15.6" x14ac:dyDescent="0.3">
      <c r="A35" s="104" t="s">
        <v>284</v>
      </c>
      <c r="B35" s="105"/>
      <c r="C35" s="84">
        <f>INVERSIONES!C36</f>
        <v>0</v>
      </c>
      <c r="D35" s="84">
        <f>SUM(INVERSIONES!D36:O36)</f>
        <v>0</v>
      </c>
      <c r="E35" s="84">
        <f>SUM(INVERSIONES!P36:AA36)</f>
        <v>0</v>
      </c>
      <c r="F35" s="84">
        <f>SUM(INVERSIONES!AB36:AM36)</f>
        <v>0</v>
      </c>
      <c r="G35" s="84">
        <f>SUM(INVERSIONES!AN36:AY36)</f>
        <v>0</v>
      </c>
      <c r="H35" s="84">
        <f>SUM(INVERSIONES!AZ36:BK36)</f>
        <v>0</v>
      </c>
    </row>
    <row r="36" spans="1:61" s="42" customFormat="1" ht="15.6" x14ac:dyDescent="0.3">
      <c r="A36" s="157" t="s">
        <v>285</v>
      </c>
      <c r="B36" s="157"/>
      <c r="C36" s="81">
        <f>C31+C32-C34-C35</f>
        <v>-2382000</v>
      </c>
      <c r="D36" s="81">
        <f t="shared" ref="D36:G36" si="4">D31+D32-D34-D35</f>
        <v>-41036144.000000007</v>
      </c>
      <c r="E36" s="81">
        <f t="shared" si="4"/>
        <v>-69809975.999999985</v>
      </c>
      <c r="F36" s="81">
        <f t="shared" si="4"/>
        <v>12944472.233333364</v>
      </c>
      <c r="G36" s="81" t="e">
        <f t="shared" si="4"/>
        <v>#REF!</v>
      </c>
      <c r="H36" s="81" t="e">
        <f>H31+H32-H34-H35</f>
        <v>#REF!</v>
      </c>
    </row>
    <row r="37" spans="1:61" customFormat="1" ht="15.6" x14ac:dyDescent="0.3"/>
    <row r="38" spans="1:61" customFormat="1" ht="15.6" x14ac:dyDescent="0.3"/>
    <row r="40" spans="1:61" s="75" customFormat="1" ht="12" x14ac:dyDescent="0.25">
      <c r="A40" s="77"/>
      <c r="B40" s="77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</row>
    <row r="41" spans="1:61" s="75" customFormat="1" ht="12" x14ac:dyDescent="0.25">
      <c r="A41" s="78" t="s">
        <v>60</v>
      </c>
      <c r="B41" s="68"/>
    </row>
    <row r="42" spans="1:61" s="75" customFormat="1" ht="12" x14ac:dyDescent="0.25">
      <c r="A42" s="78" t="s">
        <v>61</v>
      </c>
      <c r="B42" s="68"/>
    </row>
    <row r="43" spans="1:61" s="75" customFormat="1" ht="12" x14ac:dyDescent="0.25">
      <c r="A43" s="78" t="s">
        <v>62</v>
      </c>
      <c r="B43" s="68"/>
    </row>
    <row r="44" spans="1:61" s="75" customFormat="1" ht="12" x14ac:dyDescent="0.25">
      <c r="A44" s="78" t="s">
        <v>63</v>
      </c>
      <c r="B44" s="68"/>
    </row>
    <row r="45" spans="1:61" s="75" customFormat="1" ht="12" x14ac:dyDescent="0.25">
      <c r="A45" s="117" t="s">
        <v>64</v>
      </c>
      <c r="B45" s="117"/>
      <c r="C45" s="117"/>
      <c r="D45" s="117"/>
      <c r="E45" s="117"/>
      <c r="F45" s="117"/>
      <c r="G45" s="117"/>
    </row>
    <row r="46" spans="1:61" customFormat="1" ht="15.6" x14ac:dyDescent="0.3">
      <c r="A46" s="68"/>
      <c r="B46" s="68"/>
    </row>
  </sheetData>
  <sheetProtection formatColumns="0"/>
  <mergeCells count="27">
    <mergeCell ref="A28:B28"/>
    <mergeCell ref="A16:B16"/>
    <mergeCell ref="A17:B17"/>
    <mergeCell ref="A18:B18"/>
    <mergeCell ref="A25:B25"/>
    <mergeCell ref="A26:B26"/>
    <mergeCell ref="A10:B10"/>
    <mergeCell ref="A11:B11"/>
    <mergeCell ref="A12:B12"/>
    <mergeCell ref="A14:B14"/>
    <mergeCell ref="A15:B15"/>
    <mergeCell ref="A45:G45"/>
    <mergeCell ref="A7:B8"/>
    <mergeCell ref="H7:H8"/>
    <mergeCell ref="C7:C8"/>
    <mergeCell ref="D7:D8"/>
    <mergeCell ref="E7:E8"/>
    <mergeCell ref="F7:F8"/>
    <mergeCell ref="G7:G8"/>
    <mergeCell ref="A22:B22"/>
    <mergeCell ref="A23:B23"/>
    <mergeCell ref="A24:B24"/>
    <mergeCell ref="A35:B35"/>
    <mergeCell ref="A36:B36"/>
    <mergeCell ref="A31:B31"/>
    <mergeCell ref="A19:B19"/>
    <mergeCell ref="A9:B9"/>
  </mergeCells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G107"/>
  <sheetViews>
    <sheetView showGridLines="0" zoomScale="150" zoomScaleNormal="150" workbookViewId="0">
      <selection activeCell="A81" sqref="A81"/>
    </sheetView>
  </sheetViews>
  <sheetFormatPr baseColWidth="10" defaultColWidth="10.8984375" defaultRowHeight="15.6" x14ac:dyDescent="0.3"/>
  <cols>
    <col min="1" max="1" width="21.5" bestFit="1" customWidth="1"/>
    <col min="2" max="2" width="19.3984375" bestFit="1" customWidth="1"/>
    <col min="3" max="6" width="18.3984375" customWidth="1"/>
    <col min="7" max="10" width="14.59765625" bestFit="1" customWidth="1"/>
  </cols>
  <sheetData>
    <row r="1" spans="1:7" ht="72" customHeight="1" x14ac:dyDescent="0.3"/>
    <row r="2" spans="1:7" x14ac:dyDescent="0.3">
      <c r="A2" s="50" t="s">
        <v>286</v>
      </c>
      <c r="B2" s="51">
        <f>Año1</f>
        <v>2027</v>
      </c>
      <c r="C2" s="52">
        <f>Año2</f>
        <v>2028</v>
      </c>
      <c r="D2" s="52">
        <f>Año3</f>
        <v>2029</v>
      </c>
      <c r="E2" s="52">
        <f>Año4</f>
        <v>2030</v>
      </c>
      <c r="F2" s="52">
        <f>Año5</f>
        <v>2031</v>
      </c>
    </row>
    <row r="3" spans="1:7" x14ac:dyDescent="0.3">
      <c r="A3" s="2" t="s">
        <v>287</v>
      </c>
      <c r="B3" s="53">
        <f>EEFF!D11/EEFF!D9</f>
        <v>-1.6479513178294576</v>
      </c>
      <c r="C3" s="53">
        <f>EEFF!E11/EEFF!E9</f>
        <v>-0.16284259319286859</v>
      </c>
      <c r="D3" s="53">
        <f>EEFF!F11/EEFF!F9</f>
        <v>0.27678881548974954</v>
      </c>
      <c r="E3" s="53">
        <f>EEFF!G11/EEFF!G9</f>
        <v>0.45270603875134569</v>
      </c>
      <c r="F3" s="53">
        <f>EEFF!H11/EEFF!H9</f>
        <v>0.59518033805031456</v>
      </c>
    </row>
    <row r="4" spans="1:7" x14ac:dyDescent="0.3">
      <c r="A4" s="2" t="s">
        <v>288</v>
      </c>
      <c r="B4" s="53">
        <f>EEFF!D15/EEFF!D9</f>
        <v>-1.795393178294574</v>
      </c>
      <c r="C4" s="53">
        <f>EEFF!E15/EEFF!E9</f>
        <v>-0.64403546191247962</v>
      </c>
      <c r="D4" s="53">
        <f>EEFF!F15/EEFF!F9</f>
        <v>-3.1126537585421329E-2</v>
      </c>
      <c r="E4" s="53">
        <f>EEFF!G15/EEFF!G9</f>
        <v>0.2940138966630787</v>
      </c>
      <c r="F4" s="53">
        <f>EEFF!H15/EEFF!H9</f>
        <v>0.47427074685534604</v>
      </c>
    </row>
    <row r="5" spans="1:7" x14ac:dyDescent="0.3">
      <c r="A5" s="2" t="s">
        <v>289</v>
      </c>
      <c r="B5" s="53">
        <f>EEFF!D19/EEFF!D9</f>
        <v>-1.795393178294574</v>
      </c>
      <c r="C5" s="53">
        <f>EEFF!E19/EEFF!E9</f>
        <v>-0.64403546191247962</v>
      </c>
      <c r="D5" s="53">
        <f>EEFF!F19/EEFF!F9</f>
        <v>-3.1126537585421329E-2</v>
      </c>
      <c r="E5" s="53">
        <f>EEFF!G19/EEFF!G9</f>
        <v>0.19110903283100114</v>
      </c>
      <c r="F5" s="53">
        <f>EEFF!H19/EEFF!H9</f>
        <v>0.30827598545597495</v>
      </c>
    </row>
    <row r="6" spans="1:7" x14ac:dyDescent="0.3">
      <c r="A6" s="2" t="s">
        <v>290</v>
      </c>
      <c r="B6" s="7">
        <f>EEFF!D15+EEFF!D14</f>
        <v>-46321144.000000007</v>
      </c>
      <c r="C6" s="7">
        <f>EEFF!E15+EEFF!E14</f>
        <v>-79473975.999999985</v>
      </c>
      <c r="D6" s="7">
        <f>EEFF!F15+EEFF!F14</f>
        <v>-10931639.99999997</v>
      </c>
      <c r="E6" s="7">
        <f>EEFF!G15+EEFF!G14</f>
        <v>218511128.00000009</v>
      </c>
      <c r="F6" s="7">
        <f>EEFF!H15+EEFF!H14</f>
        <v>40218159.333333343</v>
      </c>
    </row>
    <row r="7" spans="1:7" x14ac:dyDescent="0.3">
      <c r="B7" t="s">
        <v>291</v>
      </c>
      <c r="C7" s="87"/>
    </row>
    <row r="8" spans="1:7" x14ac:dyDescent="0.3">
      <c r="A8" s="50" t="s">
        <v>292</v>
      </c>
      <c r="B8" s="65">
        <f>FINANCIACIÓN!BO47</f>
        <v>0</v>
      </c>
      <c r="C8" s="62">
        <f>IF(FINANCIACIÓN!BL47&lt;=0,0,FINANCIACIÓN!BL47/(FINANCIACIÓN!BL24+FINANCIACIÓN!BL47))</f>
        <v>0</v>
      </c>
      <c r="D8" s="87"/>
      <c r="E8" s="87"/>
      <c r="F8" s="87"/>
      <c r="G8" s="87"/>
    </row>
    <row r="9" spans="1:7" x14ac:dyDescent="0.3">
      <c r="A9" s="50" t="s">
        <v>293</v>
      </c>
      <c r="B9" s="66"/>
      <c r="C9" s="62">
        <f>IF(FINANCIACIÓN!BL24&lt;=0,0,FINANCIACIÓN!BL24/(FINANCIACIÓN!BL24+FINANCIACIÓN!BL47))</f>
        <v>1</v>
      </c>
      <c r="D9" s="87"/>
      <c r="E9" s="87"/>
      <c r="F9" s="87"/>
      <c r="G9" s="87"/>
    </row>
    <row r="10" spans="1:7" x14ac:dyDescent="0.3">
      <c r="A10" s="50" t="s">
        <v>294</v>
      </c>
      <c r="B10" s="66">
        <f>((B9*C9)+(B8*C8)*(1-INICIO!B364))</f>
        <v>0</v>
      </c>
      <c r="C10" s="87"/>
      <c r="D10" s="87"/>
      <c r="E10" s="87"/>
      <c r="F10" s="87"/>
      <c r="G10" s="87"/>
    </row>
    <row r="11" spans="1:7" x14ac:dyDescent="0.3">
      <c r="A11" s="50" t="s">
        <v>295</v>
      </c>
      <c r="B11" s="67" t="e">
        <f>IRR(EEFF!C36:H36)</f>
        <v>#VALUE!</v>
      </c>
      <c r="C11" s="87"/>
      <c r="D11" s="87"/>
      <c r="E11" s="87"/>
      <c r="F11" s="94"/>
      <c r="G11" s="87"/>
    </row>
    <row r="12" spans="1:7" x14ac:dyDescent="0.3">
      <c r="A12" s="50" t="s">
        <v>296</v>
      </c>
      <c r="B12" s="64" t="e">
        <f>NPV(B10,EEFF!D36:H36)+EEFF!C10</f>
        <v>#REF!</v>
      </c>
      <c r="C12" s="87"/>
      <c r="D12" s="87"/>
      <c r="E12" s="87"/>
      <c r="F12" s="94"/>
      <c r="G12" s="87"/>
    </row>
    <row r="106" spans="2:2" x14ac:dyDescent="0.3">
      <c r="B106" s="63"/>
    </row>
    <row r="107" spans="2:2" x14ac:dyDescent="0.3">
      <c r="B107" s="63"/>
    </row>
  </sheetData>
  <sheetProtection formatColumns="0" selectLockedCells="1"/>
  <conditionalFormatting sqref="D3:F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a7347a-0b5a-4ddb-b34d-4d69997f4b61">
      <Terms xmlns="http://schemas.microsoft.com/office/infopath/2007/PartnerControls"/>
    </lcf76f155ced4ddcb4097134ff3c332f>
    <TaxCatchAll xmlns="a8f0f98c-233b-4fe8-be86-858196cf38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4A674DB3BC240BC1B040D816D03D3" ma:contentTypeVersion="10" ma:contentTypeDescription="Crear nuevo documento." ma:contentTypeScope="" ma:versionID="e022b3e62ff820de46cc0aaa5913ae98">
  <xsd:schema xmlns:xsd="http://www.w3.org/2001/XMLSchema" xmlns:xs="http://www.w3.org/2001/XMLSchema" xmlns:p="http://schemas.microsoft.com/office/2006/metadata/properties" xmlns:ns2="19a7347a-0b5a-4ddb-b34d-4d69997f4b61" xmlns:ns3="a8f0f98c-233b-4fe8-be86-858196cf38d8" targetNamespace="http://schemas.microsoft.com/office/2006/metadata/properties" ma:root="true" ma:fieldsID="0ff158c9e617c9e009d66169be7f77b3" ns2:_="" ns3:_="">
    <xsd:import namespace="19a7347a-0b5a-4ddb-b34d-4d69997f4b61"/>
    <xsd:import namespace="a8f0f98c-233b-4fe8-be86-858196cf38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0f98c-233b-4fe8-be86-858196cf38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753caf-4d9f-44a6-aa27-d9fe832dd242}" ma:internalName="TaxCatchAll" ma:showField="CatchAllData" ma:web="a8f0f98c-233b-4fe8-be86-858196cf38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7F0AC94-B7AF-4E8D-8579-4D83B92C6FA4}">
  <ds:schemaRefs>
    <ds:schemaRef ds:uri="http://schemas.microsoft.com/office/2006/metadata/properties"/>
    <ds:schemaRef ds:uri="http://schemas.microsoft.com/office/infopath/2007/PartnerControls"/>
    <ds:schemaRef ds:uri="19a7347a-0b5a-4ddb-b34d-4d69997f4b61"/>
    <ds:schemaRef ds:uri="a8f0f98c-233b-4fe8-be86-858196cf38d8"/>
  </ds:schemaRefs>
</ds:datastoreItem>
</file>

<file path=customXml/itemProps2.xml><?xml version="1.0" encoding="utf-8"?>
<ds:datastoreItem xmlns:ds="http://schemas.openxmlformats.org/officeDocument/2006/customXml" ds:itemID="{EDED9224-0F52-4ABC-ACF9-4039D933DE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B594DF-A0D7-404C-81D9-A8E565C858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a7347a-0b5a-4ddb-b34d-4d69997f4b61"/>
    <ds:schemaRef ds:uri="a8f0f98c-233b-4fe8-be86-858196cf38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7A93E20-9ECE-428D-934A-78A9BEE9408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20</vt:i4>
      </vt:variant>
    </vt:vector>
  </HeadingPairs>
  <TitlesOfParts>
    <vt:vector size="29" baseType="lpstr">
      <vt:lpstr>INICIO</vt:lpstr>
      <vt:lpstr>INGRESOS</vt:lpstr>
      <vt:lpstr>COSTOS</vt:lpstr>
      <vt:lpstr>GASTOS</vt:lpstr>
      <vt:lpstr>INVERSIONES</vt:lpstr>
      <vt:lpstr>FINANCIACIÓN</vt:lpstr>
      <vt:lpstr>PRESUPUESTO</vt:lpstr>
      <vt:lpstr>EEFF</vt:lpstr>
      <vt:lpstr>INDICADORES</vt:lpstr>
      <vt:lpstr>Año1</vt:lpstr>
      <vt:lpstr>Año2</vt:lpstr>
      <vt:lpstr>Año3</vt:lpstr>
      <vt:lpstr>Año4</vt:lpstr>
      <vt:lpstr>Año5</vt:lpstr>
      <vt:lpstr>Producto1</vt:lpstr>
      <vt:lpstr>Producto10</vt:lpstr>
      <vt:lpstr>Producto11</vt:lpstr>
      <vt:lpstr>Producto12</vt:lpstr>
      <vt:lpstr>Producto13</vt:lpstr>
      <vt:lpstr>Producto14</vt:lpstr>
      <vt:lpstr>Producto15</vt:lpstr>
      <vt:lpstr>Producto2</vt:lpstr>
      <vt:lpstr>Producto3</vt:lpstr>
      <vt:lpstr>Producto4</vt:lpstr>
      <vt:lpstr>Producto5</vt:lpstr>
      <vt:lpstr>Producto6</vt:lpstr>
      <vt:lpstr>Producto7</vt:lpstr>
      <vt:lpstr>Producto8</vt:lpstr>
      <vt:lpstr>Producto9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NESTOR IVAN NARANJO CHACON</dc:creator>
  <cp:keywords/>
  <dc:description/>
  <cp:lastModifiedBy>Sergio Gabriel Nieto Meneses</cp:lastModifiedBy>
  <cp:revision/>
  <dcterms:created xsi:type="dcterms:W3CDTF">2018-08-17T21:14:16Z</dcterms:created>
  <dcterms:modified xsi:type="dcterms:W3CDTF">2026-05-19T02:42:46Z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</Properties>
</file>