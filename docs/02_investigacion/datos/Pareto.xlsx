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3f6ae08bb50a00/Desktop/Capstone/"/>
    </mc:Choice>
  </mc:AlternateContent>
  <xr:revisionPtr revIDLastSave="25" documentId="8_{375AC4DC-D5C5-4B4E-8503-FF44691AB8F9}" xr6:coauthVersionLast="47" xr6:coauthVersionMax="47" xr10:uidLastSave="{C8C00E02-6D60-4600-85D8-8FD84F4B593B}"/>
  <bookViews>
    <workbookView xWindow="-98" yWindow="-98" windowWidth="21795" windowHeight="12975" activeTab="1" xr2:uid="{48D14845-D914-41A0-9D67-B5F760850A66}"/>
  </bookViews>
  <sheets>
    <sheet name="Hoja1" sheetId="1" r:id="rId1"/>
    <sheet name="Sheet1" sheetId="2" r:id="rId2"/>
  </sheets>
  <definedNames>
    <definedName name="_xlchart.v1.0" hidden="1">Hoja1!$B$6:$B$16</definedName>
    <definedName name="_xlchart.v1.1" hidden="1">Hoja1!$G$5</definedName>
    <definedName name="_xlchart.v1.2" hidden="1">Hoja1!$G$6:$G$16</definedName>
    <definedName name="_xlchart.v1.3" hidden="1">Hoja1!$H$5</definedName>
    <definedName name="_xlchart.v1.4" hidden="1">Hoja1!$H$6:$H$16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7" i="1"/>
  <c r="G8" i="1"/>
  <c r="G9" i="1"/>
  <c r="G10" i="1"/>
  <c r="G11" i="1"/>
  <c r="G12" i="1"/>
  <c r="G6" i="1"/>
  <c r="G17" i="1" l="1"/>
  <c r="H6" i="1" s="1"/>
  <c r="H16" i="1" l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<sst xmlns="http://schemas.openxmlformats.org/spreadsheetml/2006/main" count="68" uniqueCount="52">
  <si>
    <t>Causas</t>
  </si>
  <si>
    <t>Martin</t>
  </si>
  <si>
    <t>Danna</t>
  </si>
  <si>
    <t>Sergio</t>
  </si>
  <si>
    <t>Christian</t>
  </si>
  <si>
    <t>Sumatoria</t>
  </si>
  <si>
    <t>X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</si>
  <si>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</si>
  <si>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</si>
  <si>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</si>
  <si>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</si>
  <si>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</si>
  <si>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</si>
  <si>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</si>
  <si>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</si>
  <si>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</si>
  <si>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</si>
  <si>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</si>
  <si>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 xml:space="preserve">1. alto número de estudiantes por clase </t>
  </si>
  <si>
    <t xml:space="preserve">2. Jornadas extendidas fuera de horario </t>
  </si>
  <si>
    <t xml:space="preserve">3. Poco tiempo para preparación de clases </t>
  </si>
  <si>
    <t xml:space="preserve">4. Estrés laboral </t>
  </si>
  <si>
    <t>5. Presión por resultados</t>
  </si>
  <si>
    <t xml:space="preserve">6. Falta de capacitación en herramientas digitales </t>
  </si>
  <si>
    <t>7. Adaptacion obligatoria a nuevas tec</t>
  </si>
  <si>
    <t xml:space="preserve">8. Conectividad deficiente </t>
  </si>
  <si>
    <t xml:space="preserve">9. Mala distribución de carga académica  </t>
  </si>
  <si>
    <t xml:space="preserve">10. Falta de personal suficiente  </t>
  </si>
  <si>
    <t xml:space="preserve">11. Exceso de tareas administrativas </t>
  </si>
  <si>
    <t>Nivel</t>
  </si>
  <si>
    <t>Pregunta</t>
  </si>
  <si>
    <t>Respuesta</t>
  </si>
  <si>
    <t>Factor asociado</t>
  </si>
  <si>
    <t>Problema</t>
  </si>
  <si>
    <t>¿Cuál es el problema identificado?</t>
  </si>
  <si>
    <t>Why 1</t>
  </si>
  <si>
    <t>¿Por qué los docentes presentan altos niveles de estrés laboral?</t>
  </si>
  <si>
    <t>Why 2</t>
  </si>
  <si>
    <t>¿Por qué los docentes tienen tantas tareas administrativas?</t>
  </si>
  <si>
    <t>Why 3</t>
  </si>
  <si>
    <t>¿Por qué las jornadas se extienden fuera del horario laboral?</t>
  </si>
  <si>
    <t>Why 4</t>
  </si>
  <si>
    <t>¿Por qué no hay suficiente personal o apoyo institucional?</t>
  </si>
  <si>
    <t>Why 5</t>
  </si>
  <si>
    <t>¿Por qué existe una mala distribución de la carga laboral?</t>
  </si>
  <si>
    <t>Porque el sistema educativo ha incorporado nuevas responsabilidades administrativas y digitales sin rediseñar adecuadamente la estructura del trabajo docente.</t>
  </si>
  <si>
    <t>Causa raíz</t>
  </si>
  <si>
    <t>Los docentes experimentan altos niveles de estrés laboral asociados a la sobrecarga de trabajo.</t>
  </si>
  <si>
    <t>Porque deben asumir un exceso de tareas administrativas además de sus funciones pedagógicas.</t>
  </si>
  <si>
    <t>Porque las jornadas laborales se extienden fuera del horario escolar para cumplir con reportes, planeación y registros institucionales.</t>
  </si>
  <si>
    <t>Porque no hay suficiente personal de apoyo que ayude con tareas administrativas o técnicas.</t>
  </si>
  <si>
    <t>Porque existe una mala distribución de la carga académica y administrativa dentro de la institución.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</si>
</sst>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Diagrama de Pareto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Diagrama de Pareto</a:t>
          </a:r>
        </a:p>
      </cx:txPr>
    </cx:title>
    <cx:plotArea>
      <cx:plotAreaRegion>
        <cx:series layoutId="clusteredColumn" uniqueId="{BC13EA4C-026A-4CD1-9D35-FC461704AF74}" formatIdx="8">
          <cx:tx>
            <cx:txData>
              <cx:f>_xlchart.v1.1</cx:f>
              <cx:v>Sumatoria</cx:v>
            </cx:txData>
          </cx:tx>
          <cx:dataId val="0"/>
          <cx:layoutPr>
            <cx:aggregation/>
          </cx:layoutPr>
          <cx:axisId val="1"/>
        </cx:series>
        <cx:series layoutId="paretoLine" ownerIdx="0" uniqueId="{70014153-88FA-43EA-B3C2-CCD7C4F1B1AB}" formatIdx="9">
          <cx:axisId val="2"/>
        </cx:series>
        <cx:series layoutId="clusteredColumn" hidden="1" uniqueId="{A91B5242-C3EF-43F1-92BF-0DF619B3F3A7}" formatIdx="10">
          <cx:tx>
            <cx:txData>
              <cx:f>_xlchart.v1.3</cx:f>
              <cx:v>X</cx:v>
            </cx:txData>
          </cx:tx>
          <cx:dataId val="1"/>
          <cx:layoutPr>
            <cx:aggregation/>
          </cx:layoutPr>
          <cx:axisId val="1"/>
        </cx:series>
        <cx:series layoutId="paretoLine" ownerIdx="2" uniqueId="{C4850C55-F736-4DC3-91D0-6F408964770E}" formatIdx="11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371475</xdr:colOff>
      <xdr:row>3</xdr:row>
      <xdr:rowOff>166686</xdr:rowOff>
    </xdr:from>
    <xdr:to>
      <xdr:col>14</xdr:col>
      <xdr:colOff>733425</xdr:colOff>
      <xdr:row>21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EC97E98-792F-B6B9-8898-253C3EC924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34300" y="709611"/>
              <a:ext cx="4933950" cy="3186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BDC2-5F9C-48F4-9D19-3AA7340CACA9}">
  <dimension ref="B5:H30"/>
  <sheetViews>
    <sheetView zoomScale="91" workbookViewId="0">
      <selection activeCell="B20" sqref="B20:G30"/>
    </sheetView>
  </sheetViews>
  <sheetFormatPr defaultColWidth="10.6640625" defaultRowHeight="14.25" x14ac:dyDescent="0.45"/>
  <cols>
    <col min="2" max="2" width="19" customWidth="1"/>
    <col min="3" max="3" width="12.86328125" customWidth="1"/>
    <col min="4" max="4" width="11.59765625" customWidth="1"/>
    <col min="5" max="5" width="12" bestFit="1" customWidth="1"/>
    <col min="6" max="6" width="10.3984375" customWidth="1"/>
    <col min="7" max="7" width="13.1328125" customWidth="1"/>
    <col min="8" max="8" width="13.3984375" customWidth="1"/>
  </cols>
  <sheetData>
    <row r="5" spans="2:8" x14ac:dyDescent="0.4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2:8" x14ac:dyDescent="0.45">
      <c r="B6" s="1" t="s">
        <v>7</v>
      </c>
      <c r="C6" s="1">
        <v>5</v>
      </c>
      <c r="D6" s="1">
        <v>2</v>
      </c>
      <c r="E6" s="1">
        <v>2</v>
      </c>
      <c r="F6" s="1">
        <v>2</v>
      </c>
      <c r="G6" s="1">
        <f>SUM(C6:F6)</f>
        <v>11</v>
      </c>
      <c r="H6" s="1">
        <f>G6/$G$17</f>
        <v>7.4324324324324328E-2</v>
      </c>
    </row>
    <row r="7" spans="2:8" x14ac:dyDescent="0.45">
      <c r="B7" s="1" t="s">
        <v>8</v>
      </c>
      <c r="C7" s="1">
        <v>5</v>
      </c>
      <c r="D7" s="1">
        <v>4</v>
      </c>
      <c r="E7" s="1">
        <v>5</v>
      </c>
      <c r="F7" s="1">
        <v>5</v>
      </c>
      <c r="G7" s="1">
        <f t="shared" ref="G7:G16" si="0">SUM(C7:F7)</f>
        <v>19</v>
      </c>
      <c r="H7" s="1">
        <f t="shared" ref="H7:H16" si="1">G7/$G$17</f>
        <v>0.12837837837837837</v>
      </c>
    </row>
    <row r="8" spans="2:8" x14ac:dyDescent="0.45">
      <c r="B8" s="1" t="s">
        <v>9</v>
      </c>
      <c r="C8" s="1">
        <v>2</v>
      </c>
      <c r="D8" s="1">
        <v>3</v>
      </c>
      <c r="E8" s="1">
        <v>2</v>
      </c>
      <c r="F8" s="1">
        <v>2</v>
      </c>
      <c r="G8" s="1">
        <f t="shared" si="0"/>
        <v>9</v>
      </c>
      <c r="H8" s="1">
        <f t="shared" si="1"/>
        <v>6.0810810810810814E-2</v>
      </c>
    </row>
    <row r="9" spans="2:8" x14ac:dyDescent="0.45">
      <c r="B9" s="1" t="s">
        <v>10</v>
      </c>
      <c r="C9" s="1">
        <v>5</v>
      </c>
      <c r="D9" s="1">
        <v>5</v>
      </c>
      <c r="E9" s="1">
        <v>5</v>
      </c>
      <c r="F9" s="1">
        <v>5</v>
      </c>
      <c r="G9" s="1">
        <f t="shared" si="0"/>
        <v>20</v>
      </c>
      <c r="H9" s="1">
        <f t="shared" si="1"/>
        <v>0.13513513513513514</v>
      </c>
    </row>
    <row r="10" spans="2:8" x14ac:dyDescent="0.45">
      <c r="B10" s="1" t="s">
        <v>11</v>
      </c>
      <c r="C10" s="1">
        <v>1</v>
      </c>
      <c r="D10" s="1">
        <v>3</v>
      </c>
      <c r="E10" s="1">
        <v>1</v>
      </c>
      <c r="F10" s="1">
        <v>1</v>
      </c>
      <c r="G10" s="1">
        <f t="shared" si="0"/>
        <v>6</v>
      </c>
      <c r="H10" s="1">
        <f t="shared" si="1"/>
        <v>4.0540540540540543E-2</v>
      </c>
    </row>
    <row r="11" spans="2:8" x14ac:dyDescent="0.45">
      <c r="B11" s="1" t="s">
        <v>12</v>
      </c>
      <c r="C11" s="1">
        <v>2</v>
      </c>
      <c r="D11" s="1">
        <v>5</v>
      </c>
      <c r="E11" s="1">
        <v>2</v>
      </c>
      <c r="F11" s="1">
        <v>2</v>
      </c>
      <c r="G11" s="1">
        <f t="shared" si="0"/>
        <v>11</v>
      </c>
      <c r="H11" s="1">
        <f t="shared" si="1"/>
        <v>7.4324324324324328E-2</v>
      </c>
    </row>
    <row r="12" spans="2:8" x14ac:dyDescent="0.45">
      <c r="B12" s="1" t="s">
        <v>13</v>
      </c>
      <c r="C12" s="1">
        <v>2</v>
      </c>
      <c r="D12" s="1">
        <v>4</v>
      </c>
      <c r="E12" s="1">
        <v>2</v>
      </c>
      <c r="F12" s="1">
        <v>1</v>
      </c>
      <c r="G12" s="1">
        <f t="shared" si="0"/>
        <v>9</v>
      </c>
      <c r="H12" s="1">
        <f t="shared" si="1"/>
        <v>6.0810810810810814E-2</v>
      </c>
    </row>
    <row r="13" spans="2:8" x14ac:dyDescent="0.45">
      <c r="B13" s="1" t="s">
        <v>14</v>
      </c>
      <c r="C13" s="1">
        <v>2</v>
      </c>
      <c r="D13" s="1">
        <v>5</v>
      </c>
      <c r="E13" s="1">
        <v>2</v>
      </c>
      <c r="F13" s="1">
        <v>2</v>
      </c>
      <c r="G13" s="1">
        <f t="shared" si="0"/>
        <v>11</v>
      </c>
      <c r="H13" s="1">
        <f t="shared" si="1"/>
        <v>7.4324324324324328E-2</v>
      </c>
    </row>
    <row r="14" spans="2:8" x14ac:dyDescent="0.45">
      <c r="B14" s="1" t="s">
        <v>15</v>
      </c>
      <c r="C14" s="1">
        <v>4</v>
      </c>
      <c r="D14" s="1">
        <v>3</v>
      </c>
      <c r="E14" s="1">
        <v>3</v>
      </c>
      <c r="F14" s="1">
        <v>3</v>
      </c>
      <c r="G14" s="1">
        <f t="shared" si="0"/>
        <v>13</v>
      </c>
      <c r="H14" s="1">
        <f t="shared" si="1"/>
        <v>8.7837837837837843E-2</v>
      </c>
    </row>
    <row r="15" spans="2:8" x14ac:dyDescent="0.45">
      <c r="B15" s="1" t="s">
        <v>16</v>
      </c>
      <c r="C15" s="1">
        <v>5</v>
      </c>
      <c r="D15" s="1">
        <v>4</v>
      </c>
      <c r="E15" s="1">
        <v>5</v>
      </c>
      <c r="F15" s="1">
        <v>5</v>
      </c>
      <c r="G15" s="1">
        <f t="shared" si="0"/>
        <v>19</v>
      </c>
      <c r="H15" s="1">
        <f t="shared" si="1"/>
        <v>0.12837837837837837</v>
      </c>
    </row>
    <row r="16" spans="2:8" x14ac:dyDescent="0.45">
      <c r="B16" s="1" t="s">
        <v>17</v>
      </c>
      <c r="C16" s="1">
        <v>5</v>
      </c>
      <c r="D16" s="1">
        <v>5</v>
      </c>
      <c r="E16" s="1">
        <v>5</v>
      </c>
      <c r="F16" s="1">
        <v>5</v>
      </c>
      <c r="G16" s="1">
        <f t="shared" si="0"/>
        <v>20</v>
      </c>
      <c r="H16" s="1">
        <f t="shared" si="1"/>
        <v>0.13513513513513514</v>
      </c>
    </row>
    <row r="17" spans="2:7" x14ac:dyDescent="0.45">
      <c r="G17" s="1">
        <f>SUM(G6:G16)</f>
        <v>148</v>
      </c>
    </row>
    <row r="20" spans="2:7" x14ac:dyDescent="0.45">
      <c r="B20" s="1" t="s">
        <v>7</v>
      </c>
      <c r="C20" s="2" t="s">
        <v>18</v>
      </c>
      <c r="D20" s="2"/>
      <c r="E20" s="2"/>
      <c r="F20" s="2"/>
      <c r="G20" s="2"/>
    </row>
    <row r="21" spans="2:7" x14ac:dyDescent="0.45">
      <c r="B21" s="1" t="s">
        <v>8</v>
      </c>
      <c r="C21" s="2" t="s">
        <v>19</v>
      </c>
      <c r="D21" s="2"/>
      <c r="E21" s="2"/>
      <c r="F21" s="2"/>
      <c r="G21" s="2"/>
    </row>
    <row r="22" spans="2:7" x14ac:dyDescent="0.45">
      <c r="B22" s="1" t="s">
        <v>9</v>
      </c>
      <c r="C22" s="2" t="s">
        <v>20</v>
      </c>
      <c r="D22" s="2"/>
      <c r="E22" s="2"/>
      <c r="F22" s="2"/>
      <c r="G22" s="2"/>
    </row>
    <row r="23" spans="2:7" x14ac:dyDescent="0.45">
      <c r="B23" s="1" t="s">
        <v>10</v>
      </c>
      <c r="C23" s="2" t="s">
        <v>21</v>
      </c>
      <c r="D23" s="2"/>
      <c r="E23" s="2"/>
      <c r="F23" s="2"/>
      <c r="G23" s="2"/>
    </row>
    <row r="24" spans="2:7" x14ac:dyDescent="0.45">
      <c r="B24" s="1" t="s">
        <v>11</v>
      </c>
      <c r="C24" s="2" t="s">
        <v>22</v>
      </c>
      <c r="D24" s="2"/>
      <c r="E24" s="2"/>
      <c r="F24" s="2"/>
      <c r="G24" s="2"/>
    </row>
    <row r="25" spans="2:7" x14ac:dyDescent="0.45">
      <c r="B25" s="1" t="s">
        <v>12</v>
      </c>
      <c r="C25" s="2" t="s">
        <v>23</v>
      </c>
      <c r="D25" s="2"/>
      <c r="E25" s="2"/>
      <c r="F25" s="2"/>
      <c r="G25" s="2"/>
    </row>
    <row r="26" spans="2:7" x14ac:dyDescent="0.45">
      <c r="B26" s="1" t="s">
        <v>13</v>
      </c>
      <c r="C26" s="2" t="s">
        <v>24</v>
      </c>
      <c r="D26" s="2"/>
      <c r="E26" s="2"/>
      <c r="F26" s="2"/>
      <c r="G26" s="2"/>
    </row>
    <row r="27" spans="2:7" x14ac:dyDescent="0.45">
      <c r="B27" s="1" t="s">
        <v>14</v>
      </c>
      <c r="C27" s="2" t="s">
        <v>25</v>
      </c>
      <c r="D27" s="2"/>
      <c r="E27" s="2"/>
      <c r="F27" s="2"/>
      <c r="G27" s="2"/>
    </row>
    <row r="28" spans="2:7" x14ac:dyDescent="0.45">
      <c r="B28" s="1" t="s">
        <v>15</v>
      </c>
      <c r="C28" s="2" t="s">
        <v>26</v>
      </c>
      <c r="D28" s="2"/>
      <c r="E28" s="2"/>
      <c r="F28" s="2"/>
      <c r="G28" s="2"/>
    </row>
    <row r="29" spans="2:7" x14ac:dyDescent="0.45">
      <c r="B29" s="1" t="s">
        <v>16</v>
      </c>
      <c r="C29" s="2" t="s">
        <v>27</v>
      </c>
      <c r="D29" s="2"/>
      <c r="E29" s="2"/>
      <c r="F29" s="2"/>
      <c r="G29" s="2"/>
    </row>
    <row r="30" spans="2:7" x14ac:dyDescent="0.45">
      <c r="B30" s="1" t="s">
        <v>17</v>
      </c>
      <c r="C30" s="2" t="s">
        <v>28</v>
      </c>
      <c r="D30" s="2"/>
      <c r="E30" s="2"/>
      <c r="F30" s="2"/>
      <c r="G30" s="2"/>
    </row>
  </sheetData>
  <mergeCells count="11">
    <mergeCell ref="C29:G29"/>
    <mergeCell ref="C30:G30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1D7B-154B-4320-A535-580BAE3EED5A}">
  <dimension ref="B2:E8"/>
  <sheetViews>
    <sheetView tabSelected="1" workbookViewId="0">
      <selection activeCell="B2" sqref="B2:D8"/>
    </sheetView>
  </sheetViews>
  <sheetFormatPr defaultRowHeight="14.25" x14ac:dyDescent="0.45"/>
  <cols>
    <col min="3" max="3" width="24.33203125" customWidth="1"/>
    <col min="4" max="4" width="30.33203125" customWidth="1"/>
    <col min="5" max="5" width="13.6640625" customWidth="1"/>
  </cols>
  <sheetData>
    <row r="2" spans="2:5" x14ac:dyDescent="0.45">
      <c r="B2" s="3" t="s">
        <v>29</v>
      </c>
      <c r="C2" s="3" t="s">
        <v>30</v>
      </c>
      <c r="D2" s="3" t="s">
        <v>31</v>
      </c>
      <c r="E2" s="3" t="s">
        <v>32</v>
      </c>
    </row>
    <row r="3" spans="2:5" ht="42.75" x14ac:dyDescent="0.45">
      <c r="B3" s="4" t="s">
        <v>33</v>
      </c>
      <c r="C3" s="4" t="s">
        <v>34</v>
      </c>
      <c r="D3" s="5" t="s">
        <v>47</v>
      </c>
      <c r="E3" s="6" t="s">
        <v>10</v>
      </c>
    </row>
    <row r="4" spans="2:5" ht="42.75" x14ac:dyDescent="0.45">
      <c r="B4" s="4" t="s">
        <v>35</v>
      </c>
      <c r="C4" s="4" t="s">
        <v>36</v>
      </c>
      <c r="D4" s="5" t="s">
        <v>48</v>
      </c>
      <c r="E4" s="6" t="s">
        <v>17</v>
      </c>
    </row>
    <row r="5" spans="2:5" ht="71.25" x14ac:dyDescent="0.45">
      <c r="B5" s="4" t="s">
        <v>37</v>
      </c>
      <c r="C5" s="4" t="s">
        <v>38</v>
      </c>
      <c r="D5" s="5" t="s">
        <v>49</v>
      </c>
      <c r="E5" s="6" t="s">
        <v>8</v>
      </c>
    </row>
    <row r="6" spans="2:5" ht="42.75" x14ac:dyDescent="0.45">
      <c r="B6" s="4" t="s">
        <v>39</v>
      </c>
      <c r="C6" s="4" t="s">
        <v>40</v>
      </c>
      <c r="D6" s="5" t="s">
        <v>50</v>
      </c>
      <c r="E6" s="6" t="s">
        <v>16</v>
      </c>
    </row>
    <row r="7" spans="2:5" ht="57" x14ac:dyDescent="0.45">
      <c r="B7" s="4" t="s">
        <v>41</v>
      </c>
      <c r="C7" s="4" t="s">
        <v>42</v>
      </c>
      <c r="D7" s="5" t="s">
        <v>51</v>
      </c>
      <c r="E7" s="6" t="s">
        <v>15</v>
      </c>
    </row>
    <row r="8" spans="2:5" ht="85.5" x14ac:dyDescent="0.45">
      <c r="B8" s="4" t="s">
        <v>43</v>
      </c>
      <c r="C8" s="4" t="s">
        <v>44</v>
      </c>
      <c r="D8" s="5" t="s">
        <v>45</v>
      </c>
      <c r="E8" s="4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860AB64817214DAEBF6A2DE9F0C0CA" ma:contentTypeVersion="16" ma:contentTypeDescription="Create a new document." ma:contentTypeScope="" ma:versionID="372d3455fa45617d22bdf7862607ac98">
  <xsd:schema xmlns:xsd="http://www.w3.org/2001/XMLSchema" xmlns:xs="http://www.w3.org/2001/XMLSchema" xmlns:p="http://schemas.microsoft.com/office/2006/metadata/properties" xmlns:ns3="5748f7d5-d963-4249-8e47-22c02919fa37" xmlns:ns4="19f66a6a-60c0-4022-9e49-9f8949c08f20" targetNamespace="http://schemas.microsoft.com/office/2006/metadata/properties" ma:root="true" ma:fieldsID="dad674aa274274c294cfa526a179db62" ns3:_="" ns4:_="">
    <xsd:import namespace="5748f7d5-d963-4249-8e47-22c02919fa37"/>
    <xsd:import namespace="19f66a6a-60c0-4022-9e49-9f8949c08f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8f7d5-d963-4249-8e47-22c02919fa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6a6a-60c0-4022-9e49-9f8949c08f2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48f7d5-d963-4249-8e47-22c02919fa37" xsi:nil="true"/>
  </documentManagement>
</p:properties>
</file>

<file path=customXml/itemProps1.xml><?xml version="1.0" encoding="utf-8"?>
<ds:datastoreItem xmlns:ds="http://schemas.openxmlformats.org/officeDocument/2006/customXml" ds:itemID="{DD3BF1AE-8DF5-467D-9392-00C40531E6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277F85-550D-40D6-8D0D-F4673D8A7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48f7d5-d963-4249-8e47-22c02919fa37"/>
    <ds:schemaRef ds:uri="19f66a6a-60c0-4022-9e49-9f8949c08f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A245C4-A0EE-44F4-BE6F-B32A16C76F4A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19f66a6a-60c0-4022-9e49-9f8949c08f20"/>
    <ds:schemaRef ds:uri="5748f7d5-d963-4249-8e47-22c02919fa37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Daniel Morales Jimenez</dc:creator>
  <cp:lastModifiedBy>Danna Alejandra Sanchez Monsalve</cp:lastModifiedBy>
  <dcterms:created xsi:type="dcterms:W3CDTF">2026-02-17T19:33:41Z</dcterms:created>
  <dcterms:modified xsi:type="dcterms:W3CDTF">2026-03-10T19:08:17Z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0x010100FC860AB64817214DAEBF6A2DE9F0C0CA</vt:lpwstr>
  </property>
</Properties>
</file>